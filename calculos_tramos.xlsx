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Unidades compartidas\Practicas_Inst2\1_Vapor\"/>
    </mc:Choice>
  </mc:AlternateContent>
  <xr:revisionPtr revIDLastSave="0" documentId="13_ncr:1_{4C3F200D-DDD1-4AB0-82FD-1B524BFB89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Red de vapor" sheetId="2" r:id="rId2"/>
    <sheet name="Red de condensado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E59" i="2"/>
  <c r="AG11" i="2" s="1"/>
  <c r="AB9" i="2"/>
  <c r="AB10" i="2"/>
  <c r="AB11" i="2"/>
  <c r="P25" i="2"/>
  <c r="AG8" i="2" s="1"/>
  <c r="AI7" i="2"/>
  <c r="AJ7" i="2" s="1"/>
  <c r="AE17" i="2" s="1"/>
  <c r="AI6" i="2"/>
  <c r="AJ5" i="2" s="1"/>
  <c r="AI5" i="2"/>
  <c r="AB21" i="2"/>
  <c r="AB20" i="2"/>
  <c r="AB19" i="2"/>
  <c r="AB18" i="2"/>
  <c r="AB17" i="2"/>
  <c r="AB16" i="2"/>
  <c r="AB15" i="2"/>
  <c r="AB8" i="2"/>
  <c r="AB7" i="2"/>
  <c r="AB5" i="2"/>
  <c r="AG9" i="2"/>
  <c r="AJ14" i="5"/>
  <c r="AJ6" i="2" l="1"/>
  <c r="AE16" i="2" s="1"/>
  <c r="AE15" i="2"/>
  <c r="AJ16" i="5"/>
  <c r="AF26" i="5" s="1"/>
  <c r="AF21" i="5"/>
  <c r="AI12" i="5"/>
  <c r="AI13" i="5"/>
  <c r="AI16" i="5"/>
  <c r="AJ11" i="5"/>
  <c r="AF17" i="5"/>
  <c r="AF16" i="5"/>
  <c r="AF15" i="5"/>
  <c r="D52" i="5"/>
  <c r="D53" i="5" s="1"/>
  <c r="AF14" i="5"/>
  <c r="AF13" i="5"/>
  <c r="AF12" i="5"/>
  <c r="AD16" i="5"/>
  <c r="AD17" i="5"/>
  <c r="AD15" i="5"/>
  <c r="AG15" i="5" s="1"/>
  <c r="AD13" i="5"/>
  <c r="AD14" i="5"/>
  <c r="AD11" i="5"/>
  <c r="AF11" i="5" s="1"/>
  <c r="AG11" i="5" s="1"/>
  <c r="D71" i="5"/>
  <c r="D72" i="5" s="1"/>
  <c r="P52" i="5"/>
  <c r="P53" i="5" s="1"/>
  <c r="P34" i="5"/>
  <c r="P35" i="5" s="1"/>
  <c r="P14" i="5"/>
  <c r="P13" i="5"/>
  <c r="P7" i="2"/>
  <c r="AB6" i="2" s="1"/>
  <c r="H69" i="2"/>
  <c r="H83" i="5" s="1"/>
  <c r="S52" i="2"/>
  <c r="H52" i="2"/>
  <c r="H64" i="5" s="1"/>
  <c r="D34" i="5"/>
  <c r="D35" i="5" s="1"/>
  <c r="P8" i="2"/>
  <c r="AG6" i="2" s="1"/>
  <c r="T46" i="5"/>
  <c r="S26" i="2"/>
  <c r="T37" i="5" s="1"/>
  <c r="S35" i="2"/>
  <c r="H46" i="5"/>
  <c r="M42" i="5"/>
  <c r="L42" i="5"/>
  <c r="H41" i="5"/>
  <c r="I46" i="5" s="1"/>
  <c r="J37" i="5"/>
  <c r="V37" i="5" s="1"/>
  <c r="V55" i="5" s="1"/>
  <c r="J74" i="5" s="1"/>
  <c r="AI17" i="5" s="1"/>
  <c r="AJ17" i="5" s="1"/>
  <c r="AF27" i="5" s="1"/>
  <c r="Y22" i="5"/>
  <c r="M22" i="5"/>
  <c r="L22" i="5"/>
  <c r="X22" i="5"/>
  <c r="T26" i="5"/>
  <c r="S18" i="2"/>
  <c r="I83" i="5"/>
  <c r="F83" i="5"/>
  <c r="G83" i="5" s="1"/>
  <c r="M79" i="5"/>
  <c r="L79" i="5"/>
  <c r="U64" i="5"/>
  <c r="R64" i="5"/>
  <c r="S64" i="5" s="1"/>
  <c r="Y60" i="5"/>
  <c r="X60" i="5"/>
  <c r="F64" i="5"/>
  <c r="G64" i="5" s="1"/>
  <c r="M60" i="5"/>
  <c r="L60" i="5"/>
  <c r="U46" i="5"/>
  <c r="R46" i="5"/>
  <c r="S46" i="5" s="1"/>
  <c r="Y42" i="5"/>
  <c r="X42" i="5"/>
  <c r="F46" i="5"/>
  <c r="G46" i="5" s="1"/>
  <c r="U26" i="5"/>
  <c r="R26" i="5"/>
  <c r="S26" i="5" s="1"/>
  <c r="I26" i="5"/>
  <c r="H17" i="5"/>
  <c r="T64" i="5" l="1"/>
  <c r="V64" i="5" s="1"/>
  <c r="H43" i="2"/>
  <c r="AI8" i="2"/>
  <c r="AJ8" i="2" s="1"/>
  <c r="AE18" i="2" s="1"/>
  <c r="V46" i="5"/>
  <c r="AI15" i="5"/>
  <c r="AF24" i="5" s="1"/>
  <c r="J83" i="5"/>
  <c r="AG13" i="5"/>
  <c r="AI14" i="5"/>
  <c r="AJ13" i="5" s="1"/>
  <c r="AF23" i="5" s="1"/>
  <c r="AG17" i="5"/>
  <c r="V26" i="5"/>
  <c r="P15" i="5"/>
  <c r="AG16" i="5"/>
  <c r="AG14" i="5"/>
  <c r="AJ12" i="5"/>
  <c r="AF22" i="5" s="1"/>
  <c r="AJ15" i="5"/>
  <c r="AF25" i="5" s="1"/>
  <c r="AD12" i="5"/>
  <c r="AG12" i="5" s="1"/>
  <c r="J46" i="5"/>
  <c r="H55" i="5" l="1"/>
  <c r="S43" i="2"/>
  <c r="AI10" i="2" s="1"/>
  <c r="AI9" i="2"/>
  <c r="AJ9" i="2" s="1"/>
  <c r="AE19" i="2" s="1"/>
  <c r="T55" i="5"/>
  <c r="E42" i="2"/>
  <c r="E25" i="2"/>
  <c r="AG7" i="2" s="1"/>
  <c r="H60" i="2" l="1"/>
  <c r="AI11" i="2" s="1"/>
  <c r="AJ10" i="2"/>
  <c r="AE20" i="2" s="1"/>
  <c r="D6" i="5"/>
  <c r="J17" i="5" s="1"/>
  <c r="AI11" i="5" s="1"/>
  <c r="H26" i="5"/>
  <c r="J26" i="5" s="1"/>
  <c r="F26" i="5"/>
  <c r="G26" i="5" s="1"/>
  <c r="D14" i="5"/>
  <c r="F69" i="2"/>
  <c r="G69" i="2" s="1"/>
  <c r="E60" i="2"/>
  <c r="AH11" i="2" s="1"/>
  <c r="Q52" i="2"/>
  <c r="P42" i="2"/>
  <c r="Q35" i="2"/>
  <c r="P26" i="2"/>
  <c r="AH8" i="2" s="1"/>
  <c r="Q18" i="2"/>
  <c r="R18" i="2" s="1"/>
  <c r="P9" i="2"/>
  <c r="AH6" i="2" s="1"/>
  <c r="F52" i="2"/>
  <c r="G52" i="2" s="1"/>
  <c r="E43" i="2"/>
  <c r="AH9" i="2" s="1"/>
  <c r="F35" i="2"/>
  <c r="G35" i="2" s="1"/>
  <c r="E26" i="2"/>
  <c r="AH7" i="2" s="1"/>
  <c r="H18" i="2"/>
  <c r="F18" i="2"/>
  <c r="E8" i="2"/>
  <c r="I12" i="1"/>
  <c r="C10" i="1"/>
  <c r="H74" i="5" l="1"/>
  <c r="P43" i="2"/>
  <c r="AH10" i="2" s="1"/>
  <c r="AG10" i="2"/>
  <c r="E9" i="2"/>
  <c r="AH5" i="2" s="1"/>
  <c r="AG5" i="2"/>
  <c r="R52" i="2"/>
  <c r="T52" i="2"/>
  <c r="AJ11" i="2"/>
  <c r="AE21" i="2"/>
  <c r="D15" i="5"/>
  <c r="I69" i="2"/>
  <c r="I35" i="2"/>
  <c r="T18" i="2"/>
  <c r="T35" i="2"/>
  <c r="I52" i="2"/>
  <c r="R35" i="2"/>
  <c r="I18" i="2"/>
  <c r="G18" i="2"/>
</calcChain>
</file>

<file path=xl/sharedStrings.xml><?xml version="1.0" encoding="utf-8"?>
<sst xmlns="http://schemas.openxmlformats.org/spreadsheetml/2006/main" count="409" uniqueCount="91">
  <si>
    <t>C1</t>
  </si>
  <si>
    <t>C2</t>
  </si>
  <si>
    <t>C3</t>
  </si>
  <si>
    <t>C4</t>
  </si>
  <si>
    <t>Q(Kg/h)</t>
  </si>
  <si>
    <t>Qcalculo</t>
  </si>
  <si>
    <t>Fugas (15%)</t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</si>
  <si>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atm </t>
    </r>
    <r>
      <rPr>
        <sz val="11"/>
        <color theme="1"/>
        <rFont val="Calibri"/>
        <family val="2"/>
        <scheme val="minor"/>
      </rPr>
      <t>(bar)</t>
    </r>
  </si>
  <si>
    <t>Para el paso de presión manométrica a absoluta)</t>
  </si>
  <si>
    <t xml:space="preserve">Qcaldera </t>
  </si>
  <si>
    <t>Pcaldera[bar(a)]</t>
  </si>
  <si>
    <t>Pcalculo[bar(e)]</t>
  </si>
  <si>
    <t>Tª VS [ºC]</t>
  </si>
  <si>
    <t>Leq</t>
  </si>
  <si>
    <t>Lcálculo(m)</t>
  </si>
  <si>
    <t>Lreal(m)</t>
  </si>
  <si>
    <t>Respecto a la long eq en este caso al tener una tubería corta se puede hacer una estimación empírica donde la longitud equivalente es un 20 % de la longitud real</t>
  </si>
  <si>
    <t>Perdida de carga</t>
  </si>
  <si>
    <t>Tabla</t>
  </si>
  <si>
    <t>Entrada con</t>
  </si>
  <si>
    <t>P[bar(g)]</t>
  </si>
  <si>
    <t>T[ºC]</t>
  </si>
  <si>
    <t>Salida</t>
  </si>
  <si>
    <t>Calculos</t>
  </si>
  <si>
    <t>densidad relativa</t>
  </si>
  <si>
    <t xml:space="preserve">viscosidad cinemática </t>
  </si>
  <si>
    <t>Qtramo</t>
  </si>
  <si>
    <t>Qvolumétrico</t>
  </si>
  <si>
    <t>Tramo Caldera-P</t>
  </si>
  <si>
    <t>valor cte</t>
  </si>
  <si>
    <r>
      <t>h</t>
    </r>
    <r>
      <rPr>
        <vertAlign val="subscript"/>
        <sz val="11"/>
        <color theme="1"/>
        <rFont val="Calibri"/>
        <family val="2"/>
        <scheme val="minor"/>
      </rPr>
      <t>vapor</t>
    </r>
    <r>
      <rPr>
        <sz val="11"/>
        <color theme="1"/>
        <rFont val="Calibri"/>
        <family val="2"/>
        <scheme val="minor"/>
      </rPr>
      <t xml:space="preserve"> [KJ/Kg]</t>
    </r>
  </si>
  <si>
    <t>calor específico [KJ/KG*K]</t>
  </si>
  <si>
    <t>visco dinamica [Mpa *s]</t>
  </si>
  <si>
    <r>
      <t>vol. Espec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/kg]</t>
    </r>
  </si>
  <si>
    <t>Tramo P-C1</t>
  </si>
  <si>
    <t>Tramo P-S</t>
  </si>
  <si>
    <t>Tramo S-C2</t>
  </si>
  <si>
    <t>Tramo S-T</t>
  </si>
  <si>
    <t>Tramo T-C3</t>
  </si>
  <si>
    <t>Tramo T-C4</t>
  </si>
  <si>
    <t>RED DE CONDENSADOS</t>
  </si>
  <si>
    <t>Predcondensados[bar(g)]</t>
  </si>
  <si>
    <t>2: Condensados</t>
  </si>
  <si>
    <t>1: Vapor</t>
  </si>
  <si>
    <r>
      <t>T</t>
    </r>
    <r>
      <rPr>
        <vertAlign val="subscript"/>
        <sz val="11"/>
        <color theme="1"/>
        <rFont val="Calibri"/>
        <family val="2"/>
        <scheme val="minor"/>
      </rPr>
      <t>sat</t>
    </r>
    <r>
      <rPr>
        <sz val="11"/>
        <color theme="1"/>
        <rFont val="Calibri"/>
        <family val="2"/>
        <scheme val="minor"/>
      </rPr>
      <t>[ºC]</t>
    </r>
  </si>
  <si>
    <t>hlp1 [KJ/KG]</t>
  </si>
  <si>
    <t>hlp2 [KJ/KG]</t>
  </si>
  <si>
    <t>Hay que aprovechar el vapor flash, sobretodo porque pusimos una caldera sin economizador</t>
  </si>
  <si>
    <t>%vf</t>
  </si>
  <si>
    <t>Qvaporflash</t>
  </si>
  <si>
    <t>Ampliaciones no vamos a meter</t>
  </si>
  <si>
    <t>hvp2 [KJ/KG]</t>
  </si>
  <si>
    <t>Schedule 160 - 80</t>
  </si>
  <si>
    <t>DIN 2448 - 125</t>
  </si>
  <si>
    <t>DIN 2448 - 80</t>
  </si>
  <si>
    <t>DIN 2448 - 100</t>
  </si>
  <si>
    <t>Schedule 40 - 50</t>
  </si>
  <si>
    <t>Schedule 40 - 100</t>
  </si>
  <si>
    <t>Schedule 80 - 150</t>
  </si>
  <si>
    <t>Vapor  (vapor saturado)</t>
  </si>
  <si>
    <t>Condensados</t>
  </si>
  <si>
    <t>heje[m]</t>
  </si>
  <si>
    <r>
      <t>vol. Espec vapor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/Kg]</t>
    </r>
  </si>
  <si>
    <t>vol. Espec agua [m3/Kg]</t>
  </si>
  <si>
    <t>Linea de condensados</t>
  </si>
  <si>
    <t>Caldera-P</t>
  </si>
  <si>
    <t>P-S</t>
  </si>
  <si>
    <t>P-C1</t>
  </si>
  <si>
    <t>S-C2</t>
  </si>
  <si>
    <t>S-T</t>
  </si>
  <si>
    <t>T-C3</t>
  </si>
  <si>
    <t>T-C4</t>
  </si>
  <si>
    <r>
      <t>L</t>
    </r>
    <r>
      <rPr>
        <vertAlign val="subscript"/>
        <sz val="11"/>
        <color theme="1"/>
        <rFont val="Calibri"/>
        <family val="2"/>
        <scheme val="minor"/>
      </rPr>
      <t>eq</t>
    </r>
    <r>
      <rPr>
        <sz val="11"/>
        <color theme="1"/>
        <rFont val="Calibri"/>
        <family val="2"/>
        <scheme val="minor"/>
      </rPr>
      <t>(m)</t>
    </r>
  </si>
  <si>
    <r>
      <t>L</t>
    </r>
    <r>
      <rPr>
        <vertAlign val="subscript"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>(m)</t>
    </r>
  </si>
  <si>
    <r>
      <t>L</t>
    </r>
    <r>
      <rPr>
        <vertAlign val="subscript"/>
        <sz val="11"/>
        <color theme="1"/>
        <rFont val="Calibri"/>
        <family val="2"/>
        <scheme val="minor"/>
      </rPr>
      <t>cálculo</t>
    </r>
    <r>
      <rPr>
        <sz val="11"/>
        <color theme="1"/>
        <rFont val="Calibri"/>
        <family val="2"/>
        <scheme val="minor"/>
      </rPr>
      <t>(m)</t>
    </r>
  </si>
  <si>
    <r>
      <rPr>
        <sz val="11"/>
        <color theme="1"/>
        <rFont val="Aptos Narrow"/>
        <family val="2"/>
      </rPr>
      <t>∆</t>
    </r>
    <r>
      <rPr>
        <sz val="9.35"/>
        <color theme="1"/>
        <rFont val="Calibri"/>
        <family val="2"/>
      </rPr>
      <t>P(bar)</t>
    </r>
  </si>
  <si>
    <t>v(m/s)</t>
  </si>
  <si>
    <r>
      <t>D</t>
    </r>
    <r>
      <rPr>
        <vertAlign val="subscript"/>
        <sz val="11"/>
        <color theme="1"/>
        <rFont val="Calibri"/>
        <family val="2"/>
        <scheme val="minor"/>
      </rPr>
      <t>tubería</t>
    </r>
    <r>
      <rPr>
        <sz val="11"/>
        <color theme="1"/>
        <rFont val="Calibri"/>
        <family val="2"/>
        <scheme val="minor"/>
      </rPr>
      <t xml:space="preserve"> (mm)</t>
    </r>
  </si>
  <si>
    <r>
      <t>D</t>
    </r>
    <r>
      <rPr>
        <vertAlign val="subscript"/>
        <sz val="11"/>
        <color theme="1"/>
        <rFont val="Calibri"/>
        <family val="2"/>
        <scheme val="minor"/>
      </rPr>
      <t>interior</t>
    </r>
    <r>
      <rPr>
        <sz val="11"/>
        <color theme="1"/>
        <rFont val="Calibri"/>
        <family val="2"/>
        <scheme val="minor"/>
      </rPr>
      <t xml:space="preserve"> (mm)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</si>
  <si>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entrada  </t>
    </r>
    <r>
      <rPr>
        <sz val="11"/>
        <color theme="1"/>
        <rFont val="Calibri"/>
        <family val="2"/>
        <scheme val="minor"/>
      </rPr>
      <t>(bar(g))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</si>
  <si>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salida  </t>
    </r>
    <r>
      <rPr>
        <sz val="11"/>
        <color theme="1"/>
        <rFont val="Calibri"/>
        <family val="2"/>
        <scheme val="minor"/>
      </rPr>
      <t>(bar(g))</t>
    </r>
  </si>
  <si>
    <t>Schedule 40</t>
  </si>
  <si>
    <r>
      <t>D</t>
    </r>
    <r>
      <rPr>
        <vertAlign val="subscript"/>
        <sz val="11"/>
        <color theme="1"/>
        <rFont val="Calibri"/>
        <family val="2"/>
        <scheme val="minor"/>
      </rPr>
      <t>tanteo (mm)</t>
    </r>
  </si>
  <si>
    <t>N/A</t>
  </si>
  <si>
    <t>Tubería seleccionada</t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</si>
  <si>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entrada  </t>
    </r>
    <r>
      <rPr>
        <sz val="11"/>
        <color theme="1"/>
        <rFont val="Calibri"/>
        <family val="2"/>
        <scheme val="minor"/>
      </rPr>
      <t>[bar(g)]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</si>
  <si>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salida  </t>
    </r>
    <r>
      <rPr>
        <sz val="11"/>
        <color theme="1"/>
        <rFont val="Calibri"/>
        <family val="2"/>
        <scheme val="minor"/>
      </rPr>
      <t>[bar(g)]</t>
    </r>
  </si>
  <si>
    <t>Codos</t>
  </si>
  <si>
    <t>T(recta)</t>
  </si>
  <si>
    <t>T(derivación)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</si>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</sst>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justify"/>
    </xf>
    <xf numFmtId="0" fontId="0" fillId="2" borderId="0" xfId="0" applyFill="1"/>
    <xf numFmtId="0" fontId="1" fillId="3" borderId="1" xfId="0" applyFont="1" applyFill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vertical="justify"/>
    </xf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568699</xdr:colOff>
      <xdr:row>25</xdr:row>
      <xdr:rowOff>188524</xdr:rowOff>
    </xdr:from>
    <xdr:to>
      <xdr:col>30</xdr:col>
      <xdr:colOff>172716</xdr:colOff>
      <xdr:row>44</xdr:row>
      <xdr:rowOff>137181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706A95-75D0-80C4-DF4F-8142321A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21787" y="5219965"/>
          <a:ext cx="5789664" cy="3702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833563</xdr:colOff>
      <xdr:row>38</xdr:row>
      <xdr:rowOff>43865</xdr:rowOff>
    </xdr:from>
    <xdr:to>
      <xdr:col>31</xdr:col>
      <xdr:colOff>437582</xdr:colOff>
      <xdr:row>56</xdr:row>
      <xdr:rowOff>67892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01DC9D-11B0-43A9-B69E-44587724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79427" y="7525320"/>
          <a:ext cx="5769292" cy="3658678"/>
        </a:xfrm>
        <a:prstGeom prst="rect">
          <a:avLst/>
        </a:prstGeom>
      </xdr:spPr>
    </xdr:pic>
    <xdr:clientData/>
  </xdr:twoCellAnchor>
  <xdr:oneCellAnchor>
    <xdr:from>
      <xdr:col>5</xdr:col>
      <xdr:colOff>523314</xdr:colOff>
      <xdr:row>4</xdr:row>
      <xdr:rowOff>97491</xdr:rowOff>
    </xdr:from>
    <xdr:ext cx="2636745" cy="5423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BB2A727-65DA-132D-B5EC-6C78A52EF48E}"/>
                </a:ext>
              </a:extLst>
            </xdr:cNvPr>
            <xdr:cNvSpPr txBox="1"/>
          </xdr:nvSpPr>
          <xdr:spPr>
            <a:xfrm>
              <a:off x="6507255" y="859491"/>
              <a:ext cx="2636745" cy="542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0" i="1">
                        <a:latin typeface="Cambria Math" panose="02040503050406030204" pitchFamily="18" charset="0"/>
                      </a:rPr>
                      <m:t>% 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𝑉𝑎𝑝𝑜𝑟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𝑓𝑙𝑎𝑠h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𝑙𝑝</m:t>
                            </m:r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𝑙𝑝</m:t>
                            </m:r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𝑣𝑝</m:t>
                            </m:r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𝑙𝑝</m:t>
                            </m:r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ES" sz="1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BB2A727-65DA-132D-B5EC-6C78A52EF48E}"/>
                </a:ext>
              </a:extLst>
            </xdr:cNvPr>
            <xdr:cNvSpPr txBox="1"/>
          </xdr:nvSpPr>
          <xdr:spPr>
            <a:xfrm>
              <a:off x="6507255" y="859491"/>
              <a:ext cx="2636745" cy="542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600" b="0" i="0">
                  <a:latin typeface="Cambria Math" panose="02040503050406030204" pitchFamily="18" charset="0"/>
                </a:rPr>
                <a:t>% 𝑉𝑎𝑝𝑜𝑟 𝑓𝑙𝑎𝑠ℎ=(ℎ_𝑙𝑝1−ℎ_𝑙𝑝2)/(ℎ_𝑣𝑝2−ℎ_𝑙𝑝2 )</a:t>
              </a:r>
              <a:endParaRPr lang="es-E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K12"/>
  <sheetViews>
    <sheetView zoomScaleNormal="100" workbookViewId="0">
      <selection activeCell="I10" sqref="I10"/>
    </sheetView>
  </sheetViews>
  <sheetFormatPr baseColWidth="10" defaultColWidth="8.88671875" defaultRowHeight="14.4" x14ac:dyDescent="0.3"/>
  <cols>
    <col min="2" max="2" width="9.44140625" bestFit="1" customWidth="1"/>
    <col min="3" max="3" width="7" bestFit="1" customWidth="1"/>
    <col min="4" max="4" width="5" bestFit="1" customWidth="1"/>
    <col min="5" max="5" width="4" bestFit="1" customWidth="1"/>
    <col min="6" max="6" width="5" bestFit="1" customWidth="1"/>
    <col min="8" max="8" width="15.33203125" bestFit="1" customWidth="1"/>
    <col min="9" max="9" width="9" bestFit="1" customWidth="1"/>
    <col min="10" max="10" width="8.6640625" bestFit="1" customWidth="1"/>
    <col min="11" max="11" width="44.5546875" bestFit="1" customWidth="1"/>
  </cols>
  <sheetData>
    <row r="5" spans="2:11" ht="15.6" x14ac:dyDescent="0.35">
      <c r="C5" t="s">
        <v>0</v>
      </c>
      <c r="D5" t="s">
        <v>1</v>
      </c>
      <c r="E5" t="s">
        <v>2</v>
      </c>
      <c r="F5" t="s">
        <v>3</v>
      </c>
      <c r="H5" t="s">
        <v>6</v>
      </c>
      <c r="I5" t="s">
        <v>7</v>
      </c>
      <c r="K5" t="s">
        <v>8</v>
      </c>
    </row>
    <row r="6" spans="2:11" x14ac:dyDescent="0.3">
      <c r="B6" t="s">
        <v>4</v>
      </c>
      <c r="C6">
        <v>679</v>
      </c>
      <c r="D6">
        <v>1359</v>
      </c>
      <c r="E6">
        <v>340</v>
      </c>
      <c r="F6">
        <v>2038</v>
      </c>
      <c r="H6">
        <v>1.1499999999999999</v>
      </c>
      <c r="I6">
        <v>0.93200000000000005</v>
      </c>
      <c r="K6" t="s">
        <v>50</v>
      </c>
    </row>
    <row r="7" spans="2:11" x14ac:dyDescent="0.3">
      <c r="B7" t="s">
        <v>20</v>
      </c>
      <c r="C7">
        <v>4</v>
      </c>
      <c r="D7">
        <v>7</v>
      </c>
      <c r="E7">
        <v>7</v>
      </c>
      <c r="F7">
        <v>7</v>
      </c>
    </row>
    <row r="10" spans="2:11" x14ac:dyDescent="0.3">
      <c r="B10" t="s">
        <v>5</v>
      </c>
      <c r="C10">
        <f>(C6+D6+E6+F6)*H6</f>
        <v>5078.3999999999996</v>
      </c>
      <c r="H10" t="s">
        <v>9</v>
      </c>
      <c r="I10">
        <v>5400</v>
      </c>
    </row>
    <row r="11" spans="2:11" x14ac:dyDescent="0.3">
      <c r="H11" t="s">
        <v>10</v>
      </c>
      <c r="I11">
        <v>10</v>
      </c>
    </row>
    <row r="12" spans="2:11" x14ac:dyDescent="0.3">
      <c r="B12" t="s">
        <v>12</v>
      </c>
      <c r="C12">
        <v>220</v>
      </c>
      <c r="H12" t="s">
        <v>11</v>
      </c>
      <c r="I12">
        <f>10-I6</f>
        <v>9.0679999999999996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7C3B-8E02-456B-8222-98DD18D1A64A}">
  <sheetPr>
    <tabColor rgb="FFFF0000"/>
  </sheetPr>
  <dimension ref="A2:AJ69"/>
  <sheetViews>
    <sheetView tabSelected="1" topLeftCell="J1" zoomScale="85" zoomScaleNormal="85" workbookViewId="0">
      <selection activeCell="H35" sqref="H35"/>
    </sheetView>
  </sheetViews>
  <sheetFormatPr baseColWidth="10" defaultColWidth="23.109375" defaultRowHeight="14.4" x14ac:dyDescent="0.3"/>
  <cols>
    <col min="2" max="2" width="9.33203125" bestFit="1" customWidth="1"/>
    <col min="3" max="3" width="7.109375" bestFit="1" customWidth="1"/>
    <col min="4" max="4" width="21.109375" bestFit="1" customWidth="1"/>
    <col min="5" max="5" width="8.6640625" bestFit="1" customWidth="1"/>
    <col min="6" max="6" width="21.44140625" bestFit="1" customWidth="1"/>
    <col min="7" max="7" width="22.88671875" bestFit="1" customWidth="1"/>
    <col min="8" max="8" width="13.88671875" bestFit="1" customWidth="1"/>
    <col min="9" max="9" width="18.33203125" bestFit="1" customWidth="1"/>
    <col min="10" max="10" width="26.88671875" bestFit="1" customWidth="1"/>
    <col min="11" max="11" width="23.44140625" bestFit="1" customWidth="1"/>
    <col min="13" max="13" width="17" bestFit="1" customWidth="1"/>
    <col min="14" max="14" width="6.109375" bestFit="1" customWidth="1"/>
    <col min="15" max="15" width="18.5546875" bestFit="1" customWidth="1"/>
    <col min="16" max="16" width="7.44140625" bestFit="1" customWidth="1"/>
    <col min="17" max="17" width="21.44140625" bestFit="1" customWidth="1"/>
    <col min="18" max="18" width="22.88671875" bestFit="1" customWidth="1"/>
    <col min="19" max="19" width="13.88671875" bestFit="1" customWidth="1"/>
    <col min="20" max="20" width="18.33203125" bestFit="1" customWidth="1"/>
    <col min="21" max="21" width="26.88671875" bestFit="1" customWidth="1"/>
    <col min="22" max="22" width="23.44140625" bestFit="1" customWidth="1"/>
  </cols>
  <sheetData>
    <row r="2" spans="1:36" x14ac:dyDescent="0.3">
      <c r="A2" s="3"/>
      <c r="B2" t="s">
        <v>29</v>
      </c>
    </row>
    <row r="3" spans="1:36" x14ac:dyDescent="0.3">
      <c r="AC3" s="15" t="s">
        <v>90</v>
      </c>
      <c r="AD3" s="15"/>
      <c r="AE3" s="15"/>
    </row>
    <row r="4" spans="1:36" ht="16.2" thickBot="1" x14ac:dyDescent="0.4">
      <c r="AA4" t="s">
        <v>64</v>
      </c>
      <c r="AB4" t="s">
        <v>73</v>
      </c>
      <c r="AC4" t="s">
        <v>87</v>
      </c>
      <c r="AD4" t="s">
        <v>88</v>
      </c>
      <c r="AE4" t="s">
        <v>89</v>
      </c>
      <c r="AF4" t="s">
        <v>82</v>
      </c>
      <c r="AG4" t="s">
        <v>72</v>
      </c>
      <c r="AH4" t="s">
        <v>74</v>
      </c>
      <c r="AI4" t="s">
        <v>85</v>
      </c>
      <c r="AJ4" t="s">
        <v>86</v>
      </c>
    </row>
    <row r="5" spans="1:36" ht="15.6" thickTop="1" thickBot="1" x14ac:dyDescent="0.35">
      <c r="D5" s="4" t="s">
        <v>28</v>
      </c>
      <c r="O5" s="4" t="s">
        <v>34</v>
      </c>
      <c r="Q5" t="s">
        <v>61</v>
      </c>
      <c r="R5">
        <v>1.0945</v>
      </c>
      <c r="AA5" t="s">
        <v>65</v>
      </c>
      <c r="AB5" s="1">
        <f>$E$7</f>
        <v>12.74</v>
      </c>
      <c r="AC5">
        <v>0</v>
      </c>
      <c r="AD5">
        <v>0</v>
      </c>
      <c r="AE5">
        <v>0</v>
      </c>
      <c r="AF5" s="1" t="s">
        <v>83</v>
      </c>
      <c r="AG5" s="1">
        <f>$E$8</f>
        <v>2.548</v>
      </c>
      <c r="AH5" s="1">
        <f>$E$9</f>
        <v>15.288</v>
      </c>
      <c r="AI5" s="1">
        <f>$H$9</f>
        <v>9.0679999999999996</v>
      </c>
      <c r="AJ5" s="1">
        <f>$AI6</f>
        <v>9.0579999999999998</v>
      </c>
    </row>
    <row r="6" spans="1:36" ht="15.6" thickTop="1" thickBot="1" x14ac:dyDescent="0.35">
      <c r="AA6" t="s">
        <v>67</v>
      </c>
      <c r="AB6" s="1">
        <f>$P$7</f>
        <v>88.188999999999993</v>
      </c>
      <c r="AC6">
        <v>2</v>
      </c>
      <c r="AD6">
        <v>1</v>
      </c>
      <c r="AE6">
        <v>0</v>
      </c>
      <c r="AF6" s="1">
        <v>60</v>
      </c>
      <c r="AG6" s="1">
        <f>$P$8</f>
        <v>9.24</v>
      </c>
      <c r="AH6" s="1">
        <f>$P$9</f>
        <v>97.428999999999988</v>
      </c>
      <c r="AI6" s="1">
        <f>$S$9</f>
        <v>9.0579999999999998</v>
      </c>
      <c r="AJ6" s="1">
        <f>AI6-0.24</f>
        <v>8.8179999999999996</v>
      </c>
    </row>
    <row r="7" spans="1:36" ht="15" thickBot="1" x14ac:dyDescent="0.35">
      <c r="D7" t="s">
        <v>15</v>
      </c>
      <c r="E7" s="8">
        <v>12.74</v>
      </c>
      <c r="F7" s="5" t="s">
        <v>17</v>
      </c>
      <c r="G7" s="5"/>
      <c r="O7" t="s">
        <v>15</v>
      </c>
      <c r="P7" s="1">
        <f>40+45+2*$R$5+1</f>
        <v>88.188999999999993</v>
      </c>
      <c r="Q7" s="5" t="s">
        <v>17</v>
      </c>
      <c r="R7" s="5"/>
      <c r="AA7" t="s">
        <v>66</v>
      </c>
      <c r="AB7" s="1">
        <f>$E$24</f>
        <v>106</v>
      </c>
      <c r="AC7">
        <v>1</v>
      </c>
      <c r="AD7">
        <v>0</v>
      </c>
      <c r="AE7">
        <v>2</v>
      </c>
      <c r="AF7" s="1">
        <v>120</v>
      </c>
      <c r="AG7" s="1">
        <f>$E$25</f>
        <v>25.44</v>
      </c>
      <c r="AH7" s="1">
        <f>$E$26</f>
        <v>131.44</v>
      </c>
      <c r="AI7" s="1">
        <f>$H$26</f>
        <v>9.0579999999999998</v>
      </c>
      <c r="AJ7" s="1">
        <f>AI7-0.16</f>
        <v>8.8979999999999997</v>
      </c>
    </row>
    <row r="8" spans="1:36" x14ac:dyDescent="0.3">
      <c r="D8" t="s">
        <v>13</v>
      </c>
      <c r="E8" s="8">
        <f>E7*0.2</f>
        <v>2.548</v>
      </c>
      <c r="H8" t="s">
        <v>20</v>
      </c>
      <c r="I8" t="s">
        <v>21</v>
      </c>
      <c r="O8" t="s">
        <v>13</v>
      </c>
      <c r="P8" s="1">
        <f>(2*(32*60)+1*(90*60))/1000</f>
        <v>9.24</v>
      </c>
      <c r="S8" t="s">
        <v>20</v>
      </c>
      <c r="T8" t="s">
        <v>21</v>
      </c>
      <c r="AA8" t="s">
        <v>68</v>
      </c>
      <c r="AB8" s="1">
        <f>$P$24</f>
        <v>25</v>
      </c>
      <c r="AC8">
        <v>0</v>
      </c>
      <c r="AD8">
        <v>0</v>
      </c>
      <c r="AE8">
        <v>0</v>
      </c>
      <c r="AF8" s="1" t="s">
        <v>83</v>
      </c>
      <c r="AG8" s="1">
        <f>$P$25</f>
        <v>5</v>
      </c>
      <c r="AH8" s="1">
        <f>$P$26</f>
        <v>30</v>
      </c>
      <c r="AI8" s="13">
        <f>$S$26</f>
        <v>8.9002962618141161</v>
      </c>
      <c r="AJ8" s="13">
        <f>AI8-0.07</f>
        <v>8.8302962618141159</v>
      </c>
    </row>
    <row r="9" spans="1:36" x14ac:dyDescent="0.3">
      <c r="D9" s="1" t="s">
        <v>14</v>
      </c>
      <c r="E9" s="1">
        <f>E7+E8</f>
        <v>15.288</v>
      </c>
      <c r="F9" t="s">
        <v>18</v>
      </c>
      <c r="G9" t="s">
        <v>19</v>
      </c>
      <c r="H9">
        <v>9.0679999999999996</v>
      </c>
      <c r="I9">
        <v>220</v>
      </c>
      <c r="O9" s="1" t="s">
        <v>14</v>
      </c>
      <c r="P9" s="1">
        <f>P7+P8</f>
        <v>97.428999999999988</v>
      </c>
      <c r="Q9" t="s">
        <v>18</v>
      </c>
      <c r="R9" t="s">
        <v>19</v>
      </c>
      <c r="S9">
        <v>9.0579999999999998</v>
      </c>
      <c r="T9">
        <v>220</v>
      </c>
      <c r="AA9" t="s">
        <v>69</v>
      </c>
      <c r="AB9" s="1">
        <f>$E$41</f>
        <v>60</v>
      </c>
      <c r="AC9">
        <v>0</v>
      </c>
      <c r="AD9">
        <v>1</v>
      </c>
      <c r="AE9">
        <v>1</v>
      </c>
      <c r="AF9" s="1">
        <v>120</v>
      </c>
      <c r="AG9" s="1">
        <f>(1*(90*50)+1*(60*50))/1000</f>
        <v>7.5</v>
      </c>
      <c r="AH9" s="1">
        <f>$E$43</f>
        <v>78</v>
      </c>
      <c r="AI9" s="13">
        <f>$H$43</f>
        <v>8.9002962618141161</v>
      </c>
      <c r="AJ9" s="13">
        <f>AI9-0.12</f>
        <v>8.7802962618141169</v>
      </c>
    </row>
    <row r="10" spans="1:36" x14ac:dyDescent="0.3">
      <c r="E10" s="6"/>
      <c r="P10" s="6"/>
      <c r="AA10" t="s">
        <v>70</v>
      </c>
      <c r="AB10" s="1">
        <f>$P$41</f>
        <v>15</v>
      </c>
      <c r="AC10">
        <v>0</v>
      </c>
      <c r="AD10">
        <v>0</v>
      </c>
      <c r="AF10" s="1" t="s">
        <v>83</v>
      </c>
      <c r="AG10" s="1">
        <f>$P$42</f>
        <v>3</v>
      </c>
      <c r="AH10" s="1">
        <f>$P$43</f>
        <v>18</v>
      </c>
      <c r="AI10" s="13">
        <f>$S$43</f>
        <v>8.7802962618141169</v>
      </c>
      <c r="AJ10" s="13">
        <f>AI10-0.07</f>
        <v>8.7102962618141166</v>
      </c>
    </row>
    <row r="11" spans="1:36" ht="15" customHeight="1" x14ac:dyDescent="0.3">
      <c r="D11" s="14" t="s">
        <v>16</v>
      </c>
      <c r="E11" s="14"/>
      <c r="O11" s="6" t="s">
        <v>52</v>
      </c>
      <c r="P11" s="6"/>
      <c r="AA11" t="s">
        <v>71</v>
      </c>
      <c r="AB11" s="1">
        <f>$E$58</f>
        <v>45</v>
      </c>
      <c r="AC11">
        <v>2</v>
      </c>
      <c r="AD11">
        <v>1</v>
      </c>
      <c r="AE11">
        <v>0</v>
      </c>
      <c r="AF11" s="1">
        <v>100</v>
      </c>
      <c r="AG11" s="1">
        <f>$E$59</f>
        <v>12.4</v>
      </c>
      <c r="AH11" s="1">
        <f>$E$60</f>
        <v>57.4</v>
      </c>
      <c r="AI11" s="13">
        <f>$H$60</f>
        <v>8.7802962618141169</v>
      </c>
      <c r="AJ11" s="13">
        <f>AI11-0.09</f>
        <v>8.6902962618141171</v>
      </c>
    </row>
    <row r="12" spans="1:36" ht="16.8" x14ac:dyDescent="0.35">
      <c r="D12" s="14"/>
      <c r="E12" s="14"/>
      <c r="G12" t="s">
        <v>22</v>
      </c>
      <c r="H12" t="s">
        <v>30</v>
      </c>
      <c r="I12" t="s">
        <v>33</v>
      </c>
      <c r="J12" t="s">
        <v>31</v>
      </c>
      <c r="K12" t="s">
        <v>32</v>
      </c>
      <c r="O12" s="6"/>
      <c r="P12" s="6"/>
      <c r="R12" t="s">
        <v>22</v>
      </c>
      <c r="S12" t="s">
        <v>30</v>
      </c>
      <c r="T12" t="s">
        <v>33</v>
      </c>
      <c r="U12" t="s">
        <v>31</v>
      </c>
      <c r="V12" t="s">
        <v>32</v>
      </c>
    </row>
    <row r="13" spans="1:36" x14ac:dyDescent="0.3">
      <c r="D13" s="14"/>
      <c r="E13" s="14"/>
      <c r="H13">
        <v>2875.16</v>
      </c>
      <c r="I13">
        <v>0.21512400000000001</v>
      </c>
      <c r="J13">
        <v>2.31419</v>
      </c>
      <c r="K13">
        <v>1.67543E-2</v>
      </c>
      <c r="O13" s="6"/>
      <c r="P13" s="6"/>
      <c r="S13">
        <v>2875.21</v>
      </c>
      <c r="T13">
        <v>0.21534900000000001</v>
      </c>
      <c r="U13">
        <v>2.3137300000000001</v>
      </c>
      <c r="V13">
        <v>1.6754499999999999E-2</v>
      </c>
    </row>
    <row r="14" spans="1:36" ht="16.2" thickBot="1" x14ac:dyDescent="0.4">
      <c r="D14" s="14"/>
      <c r="E14" s="14"/>
      <c r="O14" s="6"/>
      <c r="P14" s="6"/>
      <c r="AA14" t="s">
        <v>64</v>
      </c>
      <c r="AB14" t="s">
        <v>84</v>
      </c>
      <c r="AC14" t="s">
        <v>78</v>
      </c>
      <c r="AD14" s="12" t="s">
        <v>76</v>
      </c>
      <c r="AE14" s="12" t="s">
        <v>75</v>
      </c>
    </row>
    <row r="15" spans="1:36" ht="15" thickBot="1" x14ac:dyDescent="0.35">
      <c r="D15" s="14"/>
      <c r="E15" s="14"/>
      <c r="F15" s="5" t="s">
        <v>23</v>
      </c>
      <c r="G15" s="5"/>
      <c r="O15" s="6"/>
      <c r="P15" s="6"/>
      <c r="Q15" s="5" t="s">
        <v>23</v>
      </c>
      <c r="R15" s="5"/>
      <c r="AA15" t="s">
        <v>65</v>
      </c>
      <c r="AB15" t="str">
        <f>$D$19</f>
        <v>Schedule 80 - 150</v>
      </c>
      <c r="AC15" s="1">
        <v>146.4</v>
      </c>
      <c r="AD15" s="1">
        <v>19.170000000000002</v>
      </c>
      <c r="AE15" s="1">
        <f t="shared" ref="AE15:AE21" si="0">$AI5-$AJ5</f>
        <v>9.9999999999997868E-3</v>
      </c>
    </row>
    <row r="16" spans="1:36" x14ac:dyDescent="0.3">
      <c r="D16" s="14"/>
      <c r="E16" s="14"/>
      <c r="O16" s="6"/>
      <c r="P16" s="6"/>
      <c r="AA16" t="s">
        <v>67</v>
      </c>
      <c r="AB16" t="str">
        <f>$O$11</f>
        <v>Schedule 160 - 80</v>
      </c>
      <c r="AC16" s="1">
        <v>66.599999999999994</v>
      </c>
      <c r="AD16" s="1">
        <v>18.93</v>
      </c>
      <c r="AE16" s="1">
        <f t="shared" si="0"/>
        <v>0.24000000000000021</v>
      </c>
    </row>
    <row r="17" spans="4:31" x14ac:dyDescent="0.3">
      <c r="D17" s="14"/>
      <c r="E17" s="14"/>
      <c r="F17" s="3" t="s">
        <v>24</v>
      </c>
      <c r="G17" s="3" t="s">
        <v>25</v>
      </c>
      <c r="H17" t="s">
        <v>26</v>
      </c>
      <c r="I17" s="9" t="s">
        <v>27</v>
      </c>
      <c r="O17" s="6"/>
      <c r="P17" s="6"/>
      <c r="Q17" s="3" t="s">
        <v>24</v>
      </c>
      <c r="R17" s="3" t="s">
        <v>25</v>
      </c>
      <c r="S17" t="s">
        <v>26</v>
      </c>
      <c r="T17" s="9" t="s">
        <v>27</v>
      </c>
      <c r="AA17" t="s">
        <v>66</v>
      </c>
      <c r="AB17" t="str">
        <f>$D$28</f>
        <v>DIN 2448 - 125</v>
      </c>
      <c r="AC17" s="1">
        <v>131.69999999999999</v>
      </c>
      <c r="AD17" s="1">
        <v>20.28</v>
      </c>
      <c r="AE17" s="1">
        <f t="shared" si="0"/>
        <v>0.16000000000000014</v>
      </c>
    </row>
    <row r="18" spans="4:31" x14ac:dyDescent="0.3">
      <c r="F18" s="3">
        <f>1/I13</f>
        <v>4.6484818058422119</v>
      </c>
      <c r="G18" s="3">
        <f>(K13*10^(-3))/(F18*10^(-6))</f>
        <v>3.6042520331999999</v>
      </c>
      <c r="H18">
        <f>Data!I10</f>
        <v>5400</v>
      </c>
      <c r="I18" s="9">
        <f>H18/F18</f>
        <v>1161.6695999999999</v>
      </c>
      <c r="Q18" s="3">
        <f>1/T13</f>
        <v>4.6436249994195462</v>
      </c>
      <c r="R18" s="3">
        <f>(V13*10^(-3))/(Q18*10^(-6))</f>
        <v>3.6080648205000005</v>
      </c>
      <c r="S18">
        <f>Data!$I$10-Data!$H$6*(Data!$D$6+Data!$E$6+Data!$F$6)</f>
        <v>1102.4500000000007</v>
      </c>
      <c r="T18" s="9">
        <f>S18/Q18</f>
        <v>237.41150505000019</v>
      </c>
      <c r="AA18" t="s">
        <v>68</v>
      </c>
      <c r="AB18" t="str">
        <f>$O$28</f>
        <v>DIN 2448 - 80</v>
      </c>
      <c r="AC18" s="1">
        <v>82.5</v>
      </c>
      <c r="AD18" s="1">
        <v>21.45</v>
      </c>
      <c r="AE18" s="1">
        <f t="shared" si="0"/>
        <v>7.0000000000000284E-2</v>
      </c>
    </row>
    <row r="19" spans="4:31" x14ac:dyDescent="0.3">
      <c r="D19" t="s">
        <v>58</v>
      </c>
      <c r="E19" s="6"/>
      <c r="AA19" t="s">
        <v>69</v>
      </c>
      <c r="AB19" t="str">
        <f>$D$45</f>
        <v>DIN 2448 - 100</v>
      </c>
      <c r="AC19" s="1">
        <v>107.1</v>
      </c>
      <c r="AD19" s="1">
        <v>20.79</v>
      </c>
      <c r="AE19" s="1">
        <f t="shared" si="0"/>
        <v>0.11999999999999922</v>
      </c>
    </row>
    <row r="20" spans="4:31" x14ac:dyDescent="0.3">
      <c r="AA20" t="s">
        <v>70</v>
      </c>
      <c r="AB20" t="str">
        <f>$O$45</f>
        <v>Schedule 40 - 50</v>
      </c>
      <c r="AC20" s="1">
        <v>52.5</v>
      </c>
      <c r="AD20" s="1">
        <v>20.420000000000002</v>
      </c>
      <c r="AE20" s="1">
        <f t="shared" si="0"/>
        <v>7.0000000000000284E-2</v>
      </c>
    </row>
    <row r="21" spans="4:31" ht="15" thickBot="1" x14ac:dyDescent="0.35">
      <c r="AA21" t="s">
        <v>71</v>
      </c>
      <c r="AB21" t="str">
        <f>$D$62</f>
        <v>Schedule 40 - 100</v>
      </c>
      <c r="AC21" s="1">
        <v>102.3</v>
      </c>
      <c r="AD21" s="1">
        <v>20.11</v>
      </c>
      <c r="AE21" s="1">
        <f t="shared" si="0"/>
        <v>8.9999999999999858E-2</v>
      </c>
    </row>
    <row r="22" spans="4:31" ht="15.6" thickTop="1" thickBot="1" x14ac:dyDescent="0.35">
      <c r="D22" s="4" t="s">
        <v>35</v>
      </c>
      <c r="O22" s="4" t="s">
        <v>36</v>
      </c>
    </row>
    <row r="23" spans="4:31" ht="15.6" thickTop="1" thickBot="1" x14ac:dyDescent="0.35"/>
    <row r="24" spans="4:31" ht="15" thickBot="1" x14ac:dyDescent="0.35">
      <c r="D24" t="s">
        <v>15</v>
      </c>
      <c r="E24" s="1">
        <v>106</v>
      </c>
      <c r="F24" s="5" t="s">
        <v>17</v>
      </c>
      <c r="G24" s="5"/>
      <c r="O24" t="s">
        <v>15</v>
      </c>
      <c r="P24" s="1">
        <v>25</v>
      </c>
      <c r="Q24" s="5" t="s">
        <v>17</v>
      </c>
      <c r="R24" s="5"/>
    </row>
    <row r="25" spans="4:31" x14ac:dyDescent="0.3">
      <c r="D25" t="s">
        <v>13</v>
      </c>
      <c r="E25" s="1">
        <f>(2*(90*120)+1*(32*120))/1000</f>
        <v>25.44</v>
      </c>
      <c r="H25" t="s">
        <v>20</v>
      </c>
      <c r="I25" t="s">
        <v>21</v>
      </c>
      <c r="O25" t="s">
        <v>13</v>
      </c>
      <c r="P25" s="1">
        <f>0.2*P24</f>
        <v>5</v>
      </c>
      <c r="S25" t="s">
        <v>20</v>
      </c>
      <c r="T25" t="s">
        <v>21</v>
      </c>
    </row>
    <row r="26" spans="4:31" x14ac:dyDescent="0.3">
      <c r="D26" s="1" t="s">
        <v>14</v>
      </c>
      <c r="E26" s="1">
        <f>E24+E25</f>
        <v>131.44</v>
      </c>
      <c r="F26" t="s">
        <v>18</v>
      </c>
      <c r="G26" t="s">
        <v>19</v>
      </c>
      <c r="H26">
        <v>9.0579999999999998</v>
      </c>
      <c r="I26">
        <v>220</v>
      </c>
      <c r="O26" s="1" t="s">
        <v>14</v>
      </c>
      <c r="P26" s="1">
        <f>P24+P25</f>
        <v>30</v>
      </c>
      <c r="Q26" t="s">
        <v>18</v>
      </c>
      <c r="R26" t="s">
        <v>19</v>
      </c>
      <c r="S26" s="10">
        <f>9.058-0.157703738185884</f>
        <v>8.9002962618141161</v>
      </c>
      <c r="T26">
        <v>220</v>
      </c>
    </row>
    <row r="27" spans="4:31" x14ac:dyDescent="0.3">
      <c r="E27" s="6"/>
      <c r="P27" s="6"/>
    </row>
    <row r="28" spans="4:31" x14ac:dyDescent="0.3">
      <c r="D28" t="s">
        <v>53</v>
      </c>
      <c r="E28" s="6"/>
      <c r="O28" s="6" t="s">
        <v>54</v>
      </c>
      <c r="P28" s="6"/>
    </row>
    <row r="29" spans="4:31" ht="16.8" x14ac:dyDescent="0.35">
      <c r="D29" s="6"/>
      <c r="E29" s="6"/>
      <c r="G29" t="s">
        <v>22</v>
      </c>
      <c r="H29" t="s">
        <v>30</v>
      </c>
      <c r="I29" t="s">
        <v>33</v>
      </c>
      <c r="J29" t="s">
        <v>31</v>
      </c>
      <c r="K29" t="s">
        <v>32</v>
      </c>
      <c r="O29" s="6"/>
      <c r="P29" s="6"/>
      <c r="R29" t="s">
        <v>22</v>
      </c>
      <c r="S29" t="s">
        <v>30</v>
      </c>
      <c r="T29" t="s">
        <v>33</v>
      </c>
      <c r="U29" t="s">
        <v>31</v>
      </c>
      <c r="V29" t="s">
        <v>32</v>
      </c>
    </row>
    <row r="30" spans="4:31" x14ac:dyDescent="0.3">
      <c r="D30" s="6"/>
      <c r="E30" s="6"/>
      <c r="H30">
        <v>2875.21</v>
      </c>
      <c r="I30">
        <v>0.21534900000000001</v>
      </c>
      <c r="J30">
        <v>2.3137300000000001</v>
      </c>
      <c r="K30">
        <v>1.6754499999999999E-2</v>
      </c>
      <c r="O30" s="6"/>
      <c r="P30" s="6"/>
      <c r="S30">
        <v>2875.98</v>
      </c>
      <c r="T30">
        <v>0.21901200000000001</v>
      </c>
      <c r="U30">
        <v>2.3064399999999998</v>
      </c>
      <c r="V30">
        <v>1.6758700000000001E-2</v>
      </c>
    </row>
    <row r="31" spans="4:31" ht="15" thickBot="1" x14ac:dyDescent="0.35">
      <c r="D31" s="6"/>
      <c r="E31" s="6"/>
      <c r="O31" s="6"/>
      <c r="P31" s="6"/>
    </row>
    <row r="32" spans="4:31" ht="15" thickBot="1" x14ac:dyDescent="0.35">
      <c r="D32" s="6"/>
      <c r="E32" s="6"/>
      <c r="F32" s="5" t="s">
        <v>23</v>
      </c>
      <c r="G32" s="5"/>
      <c r="O32" s="6"/>
      <c r="P32" s="6"/>
      <c r="Q32" s="5" t="s">
        <v>23</v>
      </c>
      <c r="R32" s="5"/>
    </row>
    <row r="33" spans="4:22" x14ac:dyDescent="0.3">
      <c r="D33" s="6"/>
      <c r="E33" s="6"/>
      <c r="O33" s="6"/>
      <c r="P33" s="6"/>
    </row>
    <row r="34" spans="4:22" x14ac:dyDescent="0.3">
      <c r="D34" s="6"/>
      <c r="E34" s="6"/>
      <c r="F34" s="3" t="s">
        <v>24</v>
      </c>
      <c r="G34" s="3" t="s">
        <v>25</v>
      </c>
      <c r="H34" t="s">
        <v>26</v>
      </c>
      <c r="I34" s="9" t="s">
        <v>27</v>
      </c>
      <c r="O34" s="6"/>
      <c r="P34" s="6"/>
      <c r="Q34" s="3" t="s">
        <v>24</v>
      </c>
      <c r="R34" s="3" t="s">
        <v>25</v>
      </c>
      <c r="S34" t="s">
        <v>26</v>
      </c>
      <c r="T34" s="9" t="s">
        <v>27</v>
      </c>
    </row>
    <row r="35" spans="4:22" x14ac:dyDescent="0.3">
      <c r="F35" s="3">
        <f>1/I30</f>
        <v>4.6436249994195462</v>
      </c>
      <c r="G35" s="3">
        <f>(K30*10^(-3))/(F35*10^(-6))</f>
        <v>3.6080648205000005</v>
      </c>
      <c r="H35" s="10">
        <f>Data!I10-Data!H6*(Data!C6)</f>
        <v>4619.1499999999996</v>
      </c>
      <c r="I35" s="9">
        <f>H35/F35</f>
        <v>994.72933335000005</v>
      </c>
      <c r="Q35" s="3">
        <f>1/T30</f>
        <v>4.5659598560809451</v>
      </c>
      <c r="R35" s="3">
        <f>(V30*10^(-3))/(Q35*10^(-6))</f>
        <v>3.670356404400001</v>
      </c>
      <c r="S35">
        <f>Data!I10-Data!H6*(Data!C6+Data!E6+Data!F6)</f>
        <v>1884.4500000000003</v>
      </c>
      <c r="T35" s="9">
        <f>S35/Q35</f>
        <v>412.71716340000006</v>
      </c>
    </row>
    <row r="38" spans="4:22" ht="15" thickBot="1" x14ac:dyDescent="0.35"/>
    <row r="39" spans="4:22" ht="15.6" thickTop="1" thickBot="1" x14ac:dyDescent="0.35">
      <c r="D39" s="4" t="s">
        <v>37</v>
      </c>
      <c r="O39" s="4" t="s">
        <v>38</v>
      </c>
    </row>
    <row r="40" spans="4:22" ht="15.6" thickTop="1" thickBot="1" x14ac:dyDescent="0.35"/>
    <row r="41" spans="4:22" ht="15" thickBot="1" x14ac:dyDescent="0.35">
      <c r="D41" t="s">
        <v>15</v>
      </c>
      <c r="E41" s="1">
        <v>60</v>
      </c>
      <c r="F41" s="5" t="s">
        <v>17</v>
      </c>
      <c r="G41" s="5"/>
      <c r="O41" t="s">
        <v>15</v>
      </c>
      <c r="P41" s="1">
        <v>15</v>
      </c>
      <c r="Q41" s="5" t="s">
        <v>17</v>
      </c>
      <c r="R41" s="5"/>
    </row>
    <row r="42" spans="4:22" x14ac:dyDescent="0.3">
      <c r="D42" t="s">
        <v>13</v>
      </c>
      <c r="E42" s="1">
        <f>(1*(90*120)+1*(60*120))/1000</f>
        <v>18</v>
      </c>
      <c r="H42" t="s">
        <v>20</v>
      </c>
      <c r="I42" t="s">
        <v>21</v>
      </c>
      <c r="O42" t="s">
        <v>13</v>
      </c>
      <c r="P42" s="1">
        <f>P41*0.2</f>
        <v>3</v>
      </c>
      <c r="S42" t="s">
        <v>20</v>
      </c>
      <c r="T42" t="s">
        <v>21</v>
      </c>
    </row>
    <row r="43" spans="4:22" x14ac:dyDescent="0.3">
      <c r="D43" s="1" t="s">
        <v>14</v>
      </c>
      <c r="E43" s="1">
        <f>E41+E42</f>
        <v>78</v>
      </c>
      <c r="F43" t="s">
        <v>18</v>
      </c>
      <c r="G43" t="s">
        <v>19</v>
      </c>
      <c r="H43" s="10">
        <f>$S$26</f>
        <v>8.9002962618141161</v>
      </c>
      <c r="I43">
        <v>220</v>
      </c>
      <c r="O43" s="1" t="s">
        <v>14</v>
      </c>
      <c r="P43" s="1">
        <f>P41+P42</f>
        <v>18</v>
      </c>
      <c r="Q43" t="s">
        <v>18</v>
      </c>
      <c r="R43" t="s">
        <v>19</v>
      </c>
      <c r="S43" s="10">
        <f>$H$43-0.12</f>
        <v>8.7802962618141169</v>
      </c>
      <c r="T43">
        <v>220</v>
      </c>
    </row>
    <row r="44" spans="4:22" x14ac:dyDescent="0.3">
      <c r="E44" s="6"/>
      <c r="P44" s="6"/>
    </row>
    <row r="45" spans="4:22" x14ac:dyDescent="0.3">
      <c r="D45" s="6" t="s">
        <v>55</v>
      </c>
      <c r="E45" s="6"/>
      <c r="O45" s="6" t="s">
        <v>56</v>
      </c>
      <c r="P45" s="6"/>
    </row>
    <row r="46" spans="4:22" ht="16.8" x14ac:dyDescent="0.35">
      <c r="E46" s="6"/>
      <c r="G46" t="s">
        <v>22</v>
      </c>
      <c r="H46" t="s">
        <v>30</v>
      </c>
      <c r="I46" t="s">
        <v>33</v>
      </c>
      <c r="J46" t="s">
        <v>31</v>
      </c>
      <c r="K46" t="s">
        <v>32</v>
      </c>
      <c r="O46" s="6"/>
      <c r="P46" s="6"/>
      <c r="R46" t="s">
        <v>22</v>
      </c>
      <c r="S46" t="s">
        <v>30</v>
      </c>
      <c r="T46" t="s">
        <v>33</v>
      </c>
      <c r="U46" t="s">
        <v>31</v>
      </c>
      <c r="V46" t="s">
        <v>32</v>
      </c>
    </row>
    <row r="47" spans="4:22" x14ac:dyDescent="0.3">
      <c r="D47" s="6"/>
      <c r="E47" s="6"/>
      <c r="H47">
        <v>2876.31</v>
      </c>
      <c r="I47">
        <v>0.22065100000000001</v>
      </c>
      <c r="J47">
        <v>2.3032599999999999</v>
      </c>
      <c r="K47">
        <v>1.6760500000000001E-2</v>
      </c>
      <c r="M47" s="6"/>
      <c r="N47" s="6"/>
      <c r="O47" s="6"/>
      <c r="S47">
        <v>2876.84</v>
      </c>
      <c r="T47">
        <v>0.223276</v>
      </c>
      <c r="U47">
        <v>2.2982999999999998</v>
      </c>
      <c r="V47">
        <v>1.6763299999999998E-2</v>
      </c>
    </row>
    <row r="48" spans="4:22" ht="15" thickBot="1" x14ac:dyDescent="0.35">
      <c r="D48" s="6"/>
      <c r="E48" s="6"/>
      <c r="M48" s="6"/>
      <c r="N48" s="6"/>
      <c r="O48" s="6"/>
    </row>
    <row r="49" spans="2:20" ht="15" thickBot="1" x14ac:dyDescent="0.35">
      <c r="D49" s="6"/>
      <c r="E49" s="6"/>
      <c r="F49" s="5" t="s">
        <v>23</v>
      </c>
      <c r="G49" s="5"/>
      <c r="M49" s="6"/>
      <c r="N49" s="6"/>
      <c r="O49" s="6"/>
      <c r="Q49" s="5" t="s">
        <v>23</v>
      </c>
      <c r="R49" s="5"/>
    </row>
    <row r="50" spans="2:20" x14ac:dyDescent="0.3">
      <c r="D50" s="6"/>
      <c r="E50" s="6"/>
      <c r="M50" s="6"/>
      <c r="N50" s="6"/>
      <c r="O50" s="6"/>
    </row>
    <row r="51" spans="2:20" x14ac:dyDescent="0.3">
      <c r="D51" s="6"/>
      <c r="E51" s="6"/>
      <c r="F51" s="3" t="s">
        <v>24</v>
      </c>
      <c r="G51" s="3" t="s">
        <v>25</v>
      </c>
      <c r="H51" t="s">
        <v>26</v>
      </c>
      <c r="I51" s="9" t="s">
        <v>27</v>
      </c>
      <c r="M51" s="6"/>
      <c r="N51" s="6"/>
      <c r="O51" s="6"/>
      <c r="Q51" s="3" t="s">
        <v>24</v>
      </c>
      <c r="R51" s="3" t="s">
        <v>25</v>
      </c>
      <c r="S51" t="s">
        <v>26</v>
      </c>
      <c r="T51" s="9" t="s">
        <v>27</v>
      </c>
    </row>
    <row r="52" spans="2:20" x14ac:dyDescent="0.3">
      <c r="F52" s="3">
        <f>1/I47</f>
        <v>4.5320438157996108</v>
      </c>
      <c r="G52" s="3">
        <f>(K47*10^(-3))/(F52*10^(-6))</f>
        <v>3.6982210855000006</v>
      </c>
      <c r="H52">
        <f>Data!I10-Data!H6*(Data!D6+Data!C6)</f>
        <v>3056.3</v>
      </c>
      <c r="I52" s="9">
        <f>H52/F52</f>
        <v>674.37565130000007</v>
      </c>
      <c r="Q52" s="3">
        <f>1/T47</f>
        <v>4.4787617119618766</v>
      </c>
      <c r="R52" s="3">
        <f>(V47*10^(-3))/(Q52*10^(-6))</f>
        <v>3.7428425708000002</v>
      </c>
      <c r="S52">
        <f>Data!I10-Data!H6*(Data!C6+Data!D6+Data!F6)</f>
        <v>712.60000000000036</v>
      </c>
      <c r="T52" s="9">
        <f>S52/Q52</f>
        <v>159.10647760000009</v>
      </c>
    </row>
    <row r="55" spans="2:20" ht="15" thickBot="1" x14ac:dyDescent="0.35"/>
    <row r="56" spans="2:20" ht="15.6" thickTop="1" thickBot="1" x14ac:dyDescent="0.35">
      <c r="D56" s="4" t="s">
        <v>39</v>
      </c>
    </row>
    <row r="57" spans="2:20" ht="15.6" thickTop="1" thickBot="1" x14ac:dyDescent="0.35"/>
    <row r="58" spans="2:20" ht="15" thickBot="1" x14ac:dyDescent="0.35">
      <c r="D58" t="s">
        <v>15</v>
      </c>
      <c r="E58" s="1">
        <v>45</v>
      </c>
      <c r="F58" s="5" t="s">
        <v>17</v>
      </c>
      <c r="G58" s="5"/>
    </row>
    <row r="59" spans="2:20" x14ac:dyDescent="0.3">
      <c r="D59" t="s">
        <v>13</v>
      </c>
      <c r="E59" s="1">
        <f>(60*100+2*(32*100))/1000</f>
        <v>12.4</v>
      </c>
      <c r="H59" t="s">
        <v>20</v>
      </c>
      <c r="I59" t="s">
        <v>21</v>
      </c>
    </row>
    <row r="60" spans="2:20" x14ac:dyDescent="0.3">
      <c r="D60" s="1" t="s">
        <v>14</v>
      </c>
      <c r="E60" s="1">
        <f>E58+E59</f>
        <v>57.4</v>
      </c>
      <c r="F60" t="s">
        <v>18</v>
      </c>
      <c r="G60" t="s">
        <v>19</v>
      </c>
      <c r="H60" s="10">
        <f>$S$43</f>
        <v>8.7802962618141169</v>
      </c>
      <c r="I60">
        <v>220</v>
      </c>
    </row>
    <row r="61" spans="2:20" x14ac:dyDescent="0.3">
      <c r="E61" s="6"/>
    </row>
    <row r="62" spans="2:20" x14ac:dyDescent="0.3">
      <c r="D62" s="6" t="s">
        <v>57</v>
      </c>
      <c r="E62" s="6"/>
    </row>
    <row r="63" spans="2:20" ht="16.8" x14ac:dyDescent="0.35">
      <c r="B63" s="6"/>
      <c r="C63" s="6"/>
      <c r="D63" s="6"/>
      <c r="G63" t="s">
        <v>22</v>
      </c>
      <c r="H63" t="s">
        <v>30</v>
      </c>
      <c r="I63" t="s">
        <v>33</v>
      </c>
      <c r="J63" t="s">
        <v>31</v>
      </c>
      <c r="K63" t="s">
        <v>32</v>
      </c>
    </row>
    <row r="64" spans="2:20" x14ac:dyDescent="0.3">
      <c r="B64" s="6"/>
      <c r="C64" s="6"/>
      <c r="D64" s="6"/>
      <c r="H64">
        <v>2876.84</v>
      </c>
      <c r="I64">
        <v>0.223276</v>
      </c>
      <c r="J64">
        <v>2.2982999999999998</v>
      </c>
      <c r="K64">
        <v>1.6763299999999998E-2</v>
      </c>
    </row>
    <row r="65" spans="2:9" ht="15" thickBot="1" x14ac:dyDescent="0.35">
      <c r="B65" s="6"/>
      <c r="C65" s="6"/>
      <c r="D65" s="6"/>
    </row>
    <row r="66" spans="2:9" ht="15" thickBot="1" x14ac:dyDescent="0.35">
      <c r="B66" s="6"/>
      <c r="C66" s="6"/>
      <c r="D66" s="6"/>
      <c r="F66" s="5" t="s">
        <v>23</v>
      </c>
      <c r="G66" s="5"/>
    </row>
    <row r="67" spans="2:9" x14ac:dyDescent="0.3">
      <c r="B67" s="6"/>
      <c r="C67" s="6"/>
      <c r="D67" s="6"/>
    </row>
    <row r="68" spans="2:9" x14ac:dyDescent="0.3">
      <c r="B68" s="6"/>
      <c r="C68" s="6"/>
      <c r="D68" s="6"/>
      <c r="F68" s="3" t="s">
        <v>24</v>
      </c>
      <c r="G68" s="3" t="s">
        <v>25</v>
      </c>
      <c r="H68" t="s">
        <v>26</v>
      </c>
      <c r="I68" s="9" t="s">
        <v>27</v>
      </c>
    </row>
    <row r="69" spans="2:9" x14ac:dyDescent="0.3">
      <c r="F69" s="3">
        <f>1/I64</f>
        <v>4.4787617119618766</v>
      </c>
      <c r="G69" s="3">
        <f>(K64*10^(-3))/(F69*10^(-6))</f>
        <v>3.7428425708000002</v>
      </c>
      <c r="H69">
        <f>Data!I10-Data!H6*(Data!C6+Data!D6+Data!E6)</f>
        <v>2665.3</v>
      </c>
      <c r="I69" s="9">
        <f>H69/F69</f>
        <v>595.09752280000009</v>
      </c>
    </row>
  </sheetData>
  <mergeCells count="2">
    <mergeCell ref="D11:E17"/>
    <mergeCell ref="AC3:A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4A2C-174B-4ED5-8AFC-ABCCB558F03F}">
  <sheetPr>
    <tabColor rgb="FF0070C0"/>
  </sheetPr>
  <dimension ref="A1:AJ83"/>
  <sheetViews>
    <sheetView zoomScale="70" zoomScaleNormal="70" workbookViewId="0">
      <selection activeCell="H9" sqref="H9"/>
    </sheetView>
  </sheetViews>
  <sheetFormatPr baseColWidth="10" defaultColWidth="23.109375" defaultRowHeight="14.4" x14ac:dyDescent="0.3"/>
  <cols>
    <col min="2" max="2" width="9.33203125" bestFit="1" customWidth="1"/>
    <col min="3" max="3" width="21.109375" bestFit="1" customWidth="1"/>
    <col min="4" max="4" width="25.88671875" bestFit="1" customWidth="1"/>
    <col min="5" max="5" width="23.109375" customWidth="1"/>
    <col min="6" max="6" width="21.44140625" bestFit="1" customWidth="1"/>
    <col min="7" max="7" width="22.88671875" bestFit="1" customWidth="1"/>
    <col min="8" max="8" width="23.44140625" bestFit="1" customWidth="1"/>
    <col min="9" max="9" width="16.88671875" bestFit="1" customWidth="1"/>
    <col min="10" max="10" width="14.88671875" bestFit="1" customWidth="1"/>
    <col min="11" max="11" width="13.88671875" bestFit="1" customWidth="1"/>
    <col min="12" max="12" width="24.33203125" bestFit="1" customWidth="1"/>
    <col min="13" max="13" width="23.88671875" bestFit="1" customWidth="1"/>
    <col min="14" max="14" width="3.109375" bestFit="1" customWidth="1"/>
    <col min="15" max="15" width="15.33203125" bestFit="1" customWidth="1"/>
    <col min="16" max="16" width="8.6640625" bestFit="1" customWidth="1"/>
    <col min="17" max="17" width="3.109375" bestFit="1" customWidth="1"/>
    <col min="18" max="18" width="21.44140625" bestFit="1" customWidth="1"/>
    <col min="19" max="19" width="22.88671875" bestFit="1" customWidth="1"/>
    <col min="20" max="20" width="23.44140625" bestFit="1" customWidth="1"/>
    <col min="21" max="21" width="14.88671875" bestFit="1" customWidth="1"/>
    <col min="22" max="22" width="14.5546875" bestFit="1" customWidth="1"/>
    <col min="23" max="23" width="13.88671875" bestFit="1" customWidth="1"/>
    <col min="24" max="24" width="24.33203125" bestFit="1" customWidth="1"/>
    <col min="25" max="25" width="23.88671875" bestFit="1" customWidth="1"/>
    <col min="26" max="26" width="12.33203125" bestFit="1" customWidth="1"/>
    <col min="27" max="27" width="12.88671875" bestFit="1" customWidth="1"/>
  </cols>
  <sheetData>
    <row r="1" spans="1:36" x14ac:dyDescent="0.3">
      <c r="F1" s="16" t="s">
        <v>40</v>
      </c>
      <c r="G1" s="16"/>
      <c r="H1" s="16"/>
      <c r="I1" s="16"/>
    </row>
    <row r="2" spans="1:36" x14ac:dyDescent="0.3">
      <c r="A2" s="3"/>
      <c r="B2" t="s">
        <v>29</v>
      </c>
      <c r="F2" s="16"/>
      <c r="G2" s="16"/>
      <c r="H2" s="16"/>
      <c r="I2" s="16"/>
    </row>
    <row r="3" spans="1:36" x14ac:dyDescent="0.3">
      <c r="F3" s="16"/>
      <c r="G3" s="16"/>
      <c r="H3" s="16"/>
      <c r="I3" s="16"/>
    </row>
    <row r="5" spans="1:36" x14ac:dyDescent="0.3">
      <c r="A5" s="17" t="s">
        <v>47</v>
      </c>
      <c r="B5" s="17"/>
      <c r="D5" t="s">
        <v>41</v>
      </c>
    </row>
    <row r="6" spans="1:36" x14ac:dyDescent="0.3">
      <c r="A6" s="17"/>
      <c r="B6" s="17"/>
      <c r="D6">
        <f>Data!C7-1</f>
        <v>3</v>
      </c>
      <c r="I6" t="s">
        <v>43</v>
      </c>
    </row>
    <row r="7" spans="1:36" x14ac:dyDescent="0.3">
      <c r="A7" s="17"/>
      <c r="B7" s="17"/>
      <c r="I7" t="s">
        <v>42</v>
      </c>
    </row>
    <row r="10" spans="1:36" ht="16.2" thickBot="1" x14ac:dyDescent="0.4">
      <c r="AC10" t="s">
        <v>64</v>
      </c>
      <c r="AD10" t="s">
        <v>73</v>
      </c>
      <c r="AE10" t="s">
        <v>82</v>
      </c>
      <c r="AF10" t="s">
        <v>72</v>
      </c>
      <c r="AG10" t="s">
        <v>74</v>
      </c>
      <c r="AH10" t="s">
        <v>77</v>
      </c>
      <c r="AI10" t="s">
        <v>79</v>
      </c>
      <c r="AJ10" t="s">
        <v>80</v>
      </c>
    </row>
    <row r="11" spans="1:36" ht="15.6" thickTop="1" thickBot="1" x14ac:dyDescent="0.35">
      <c r="C11" s="4" t="s">
        <v>28</v>
      </c>
      <c r="O11" s="4" t="s">
        <v>34</v>
      </c>
      <c r="R11" t="s">
        <v>61</v>
      </c>
      <c r="S11">
        <v>1.0945</v>
      </c>
      <c r="AC11" t="s">
        <v>65</v>
      </c>
      <c r="AD11" s="1">
        <f>$D$13</f>
        <v>12.74</v>
      </c>
      <c r="AE11" s="1" t="s">
        <v>83</v>
      </c>
      <c r="AF11" s="1">
        <f>AD11*0.2</f>
        <v>2.548</v>
      </c>
      <c r="AG11" s="1">
        <f t="shared" ref="AG11:AG17" si="0">AD11+AF11</f>
        <v>15.288</v>
      </c>
      <c r="AH11" s="1">
        <v>65</v>
      </c>
      <c r="AI11" s="1">
        <f>$J$17</f>
        <v>3</v>
      </c>
      <c r="AJ11" s="1">
        <f>$AI12</f>
        <v>2.98</v>
      </c>
    </row>
    <row r="12" spans="1:36" ht="15.6" thickTop="1" thickBot="1" x14ac:dyDescent="0.35">
      <c r="AC12" t="s">
        <v>67</v>
      </c>
      <c r="AD12" s="1">
        <f>$P$13</f>
        <v>88.188999999999993</v>
      </c>
      <c r="AE12" s="1">
        <v>30</v>
      </c>
      <c r="AF12" s="1">
        <f>(2*(32*30)+1*(90*30))/1000</f>
        <v>4.62</v>
      </c>
      <c r="AG12" s="1">
        <f t="shared" si="0"/>
        <v>92.808999999999997</v>
      </c>
      <c r="AH12" s="1">
        <v>32</v>
      </c>
      <c r="AI12" s="1">
        <f>$V$17</f>
        <v>2.98</v>
      </c>
      <c r="AJ12" s="1">
        <f>$AI13</f>
        <v>2.73</v>
      </c>
    </row>
    <row r="13" spans="1:36" ht="15" thickBot="1" x14ac:dyDescent="0.35">
      <c r="C13" t="s">
        <v>15</v>
      </c>
      <c r="D13" s="1">
        <v>12.74</v>
      </c>
      <c r="F13" s="5" t="s">
        <v>17</v>
      </c>
      <c r="G13" s="5"/>
      <c r="O13" t="s">
        <v>15</v>
      </c>
      <c r="P13" s="1">
        <f>40+45+2*$S$11+1</f>
        <v>88.188999999999993</v>
      </c>
      <c r="R13" s="5" t="s">
        <v>17</v>
      </c>
      <c r="S13" s="5"/>
      <c r="AC13" t="s">
        <v>66</v>
      </c>
      <c r="AD13" s="1">
        <f>$D$33</f>
        <v>105</v>
      </c>
      <c r="AE13" s="1">
        <v>60</v>
      </c>
      <c r="AF13" s="1">
        <f>(2*(90*60)+1*(32*60))/1000</f>
        <v>12.72</v>
      </c>
      <c r="AG13" s="1">
        <f t="shared" si="0"/>
        <v>117.72</v>
      </c>
      <c r="AH13" s="1">
        <v>65</v>
      </c>
      <c r="AI13" s="1">
        <f>$J$37</f>
        <v>2.73</v>
      </c>
      <c r="AJ13" s="1">
        <f>$AI14</f>
        <v>2.59</v>
      </c>
    </row>
    <row r="14" spans="1:36" x14ac:dyDescent="0.3">
      <c r="C14" t="s">
        <v>13</v>
      </c>
      <c r="D14" s="1">
        <f>D13*0.2</f>
        <v>2.548</v>
      </c>
      <c r="E14" s="1"/>
      <c r="O14" t="s">
        <v>13</v>
      </c>
      <c r="P14" s="1">
        <f>(2*(32*30)+1*(90*30))/1000</f>
        <v>4.62</v>
      </c>
      <c r="Q14" s="1"/>
      <c r="AC14" t="s">
        <v>68</v>
      </c>
      <c r="AD14" s="1">
        <f>$P$33</f>
        <v>24</v>
      </c>
      <c r="AE14" s="1">
        <v>45</v>
      </c>
      <c r="AF14" s="1">
        <f>(32*45+90*45)/1000</f>
        <v>5.49</v>
      </c>
      <c r="AG14" s="1">
        <f t="shared" si="0"/>
        <v>29.490000000000002</v>
      </c>
      <c r="AH14" s="1">
        <v>50</v>
      </c>
      <c r="AI14" s="1">
        <f>$V$37</f>
        <v>2.59</v>
      </c>
      <c r="AJ14" s="1">
        <f>AI15-0.05</f>
        <v>2.54</v>
      </c>
    </row>
    <row r="15" spans="1:36" x14ac:dyDescent="0.3">
      <c r="C15" s="1" t="s">
        <v>14</v>
      </c>
      <c r="D15" s="1">
        <f>D13+D14</f>
        <v>15.288</v>
      </c>
      <c r="F15" t="s">
        <v>18</v>
      </c>
      <c r="H15" t="s">
        <v>59</v>
      </c>
      <c r="J15" s="7" t="s">
        <v>60</v>
      </c>
      <c r="O15" s="1" t="s">
        <v>14</v>
      </c>
      <c r="P15" s="1">
        <f>P13+P14</f>
        <v>92.808999999999997</v>
      </c>
      <c r="R15" t="s">
        <v>18</v>
      </c>
      <c r="T15" t="s">
        <v>59</v>
      </c>
      <c r="V15" s="7" t="s">
        <v>60</v>
      </c>
      <c r="AC15" t="s">
        <v>69</v>
      </c>
      <c r="AD15" s="1">
        <f>$D$51</f>
        <v>60</v>
      </c>
      <c r="AE15" s="1">
        <v>50</v>
      </c>
      <c r="AF15" s="1">
        <f>(1*(90*50)+1*(60*50))/1000</f>
        <v>7.5</v>
      </c>
      <c r="AG15" s="1">
        <f t="shared" si="0"/>
        <v>67.5</v>
      </c>
      <c r="AH15" s="1">
        <v>65</v>
      </c>
      <c r="AI15" s="1">
        <f>$J$55</f>
        <v>2.59</v>
      </c>
      <c r="AJ15" s="1">
        <f>$AI16</f>
        <v>2.5099999999999998</v>
      </c>
    </row>
    <row r="16" spans="1:36" ht="15.6" x14ac:dyDescent="0.35">
      <c r="D16" s="6"/>
      <c r="E16" s="6"/>
      <c r="H16" t="s">
        <v>20</v>
      </c>
      <c r="I16" t="s">
        <v>44</v>
      </c>
      <c r="J16" s="7" t="s">
        <v>20</v>
      </c>
      <c r="K16" t="s">
        <v>44</v>
      </c>
      <c r="P16" s="6"/>
      <c r="Q16" s="6"/>
      <c r="T16" t="s">
        <v>20</v>
      </c>
      <c r="U16" t="s">
        <v>44</v>
      </c>
      <c r="V16" s="7" t="s">
        <v>20</v>
      </c>
      <c r="W16" t="s">
        <v>44</v>
      </c>
      <c r="AC16" t="s">
        <v>70</v>
      </c>
      <c r="AD16" s="1">
        <f>$P$51</f>
        <v>14</v>
      </c>
      <c r="AE16" s="1" t="s">
        <v>83</v>
      </c>
      <c r="AF16" s="1">
        <f>0.2*$P$51</f>
        <v>2.8000000000000003</v>
      </c>
      <c r="AG16" s="1">
        <f t="shared" si="0"/>
        <v>16.8</v>
      </c>
      <c r="AH16" s="1">
        <v>25</v>
      </c>
      <c r="AI16" s="1">
        <f>$V$55</f>
        <v>2.5099999999999998</v>
      </c>
      <c r="AJ16" s="1">
        <f>AI16-0.05</f>
        <v>2.46</v>
      </c>
    </row>
    <row r="17" spans="2:36" ht="15" customHeight="1" x14ac:dyDescent="0.3">
      <c r="C17" s="14" t="s">
        <v>16</v>
      </c>
      <c r="D17" s="14"/>
      <c r="E17" s="14"/>
      <c r="G17" t="s">
        <v>19</v>
      </c>
      <c r="H17">
        <f>'Red de vapor'!H9</f>
        <v>9.0679999999999996</v>
      </c>
      <c r="I17">
        <v>180.238</v>
      </c>
      <c r="J17" s="7">
        <f>D6</f>
        <v>3</v>
      </c>
      <c r="K17">
        <v>143.732</v>
      </c>
      <c r="O17" s="14" t="s">
        <v>16</v>
      </c>
      <c r="P17" s="14"/>
      <c r="Q17" s="14"/>
      <c r="S17" t="s">
        <v>19</v>
      </c>
      <c r="T17">
        <v>9.0579999999999998</v>
      </c>
      <c r="U17">
        <v>180.19399999999999</v>
      </c>
      <c r="V17" s="7">
        <v>2.98</v>
      </c>
      <c r="W17">
        <v>143.55199999999999</v>
      </c>
      <c r="AC17" t="s">
        <v>71</v>
      </c>
      <c r="AD17" s="1">
        <f>$D$70</f>
        <v>44</v>
      </c>
      <c r="AE17" s="1">
        <v>50</v>
      </c>
      <c r="AF17" s="1">
        <f>(60*50+2*(32*50))/1000</f>
        <v>6.2</v>
      </c>
      <c r="AG17" s="1">
        <f t="shared" si="0"/>
        <v>50.2</v>
      </c>
      <c r="AH17" s="1">
        <v>50</v>
      </c>
      <c r="AI17" s="1">
        <f>$J$74</f>
        <v>2.5099999999999998</v>
      </c>
      <c r="AJ17" s="1">
        <f>AI17-0.06</f>
        <v>2.4499999999999997</v>
      </c>
    </row>
    <row r="18" spans="2:36" x14ac:dyDescent="0.3">
      <c r="C18" s="14"/>
      <c r="D18" s="14"/>
      <c r="E18" s="14"/>
      <c r="J18" s="7"/>
      <c r="O18" s="14"/>
      <c r="P18" s="14"/>
      <c r="Q18" s="14"/>
      <c r="V18" s="7"/>
      <c r="AH18" t="s">
        <v>81</v>
      </c>
    </row>
    <row r="19" spans="2:36" x14ac:dyDescent="0.3">
      <c r="B19" s="6"/>
      <c r="C19" s="14"/>
      <c r="D19" s="14"/>
      <c r="E19" s="14"/>
      <c r="J19" s="7"/>
      <c r="O19" s="14"/>
      <c r="P19" s="14"/>
      <c r="Q19" s="14"/>
      <c r="V19" s="7"/>
    </row>
    <row r="20" spans="2:36" ht="16.8" x14ac:dyDescent="0.35">
      <c r="B20" s="6"/>
      <c r="C20" s="14"/>
      <c r="D20" s="14"/>
      <c r="E20" s="14"/>
      <c r="G20" t="s">
        <v>22</v>
      </c>
      <c r="H20" t="s">
        <v>45</v>
      </c>
      <c r="J20" s="7" t="s">
        <v>46</v>
      </c>
      <c r="K20" t="s">
        <v>51</v>
      </c>
      <c r="L20" t="s">
        <v>62</v>
      </c>
      <c r="M20" t="s">
        <v>63</v>
      </c>
      <c r="O20" s="14"/>
      <c r="P20" s="14"/>
      <c r="Q20" s="14"/>
      <c r="S20" t="s">
        <v>22</v>
      </c>
      <c r="T20" t="s">
        <v>45</v>
      </c>
      <c r="V20" s="7" t="s">
        <v>46</v>
      </c>
      <c r="W20" t="s">
        <v>51</v>
      </c>
      <c r="X20" t="s">
        <v>62</v>
      </c>
      <c r="Y20" t="s">
        <v>63</v>
      </c>
      <c r="AC20" t="s">
        <v>64</v>
      </c>
      <c r="AD20" t="s">
        <v>78</v>
      </c>
      <c r="AE20" s="12" t="s">
        <v>76</v>
      </c>
      <c r="AF20" s="12" t="s">
        <v>75</v>
      </c>
    </row>
    <row r="21" spans="2:36" x14ac:dyDescent="0.3">
      <c r="B21" s="2"/>
      <c r="C21" s="2"/>
      <c r="D21" s="6"/>
      <c r="H21">
        <v>764.23800000000006</v>
      </c>
      <c r="J21" s="7">
        <v>605.23599999999999</v>
      </c>
      <c r="K21">
        <v>2738.21</v>
      </c>
      <c r="L21">
        <v>0.46095700000000001</v>
      </c>
      <c r="M21">
        <v>1.08369E-3</v>
      </c>
      <c r="O21" s="2"/>
      <c r="P21" s="6"/>
      <c r="T21">
        <v>764.04700000000003</v>
      </c>
      <c r="V21" s="7">
        <v>604.46199999999999</v>
      </c>
      <c r="W21">
        <v>2737.98</v>
      </c>
      <c r="X21">
        <v>0.46312599999999998</v>
      </c>
      <c r="Y21">
        <v>1.0834900000000001E-3</v>
      </c>
      <c r="AC21" t="s">
        <v>65</v>
      </c>
      <c r="AD21" s="1">
        <v>58</v>
      </c>
      <c r="AE21" s="1">
        <v>19.309999999999999</v>
      </c>
      <c r="AF21" s="1">
        <f t="shared" ref="AF21:AF27" si="1">$AI11-$AJ11</f>
        <v>2.0000000000000018E-2</v>
      </c>
    </row>
    <row r="22" spans="2:36" ht="15" thickBot="1" x14ac:dyDescent="0.35">
      <c r="B22" s="2"/>
      <c r="C22" s="2"/>
      <c r="D22" s="6"/>
      <c r="J22" s="7"/>
      <c r="L22" s="11">
        <f>L21/($L$21+$M$21)</f>
        <v>0.99765455722092344</v>
      </c>
      <c r="M22" s="11">
        <f>M21/($L$21+$M$21)</f>
        <v>2.3454427790764489E-3</v>
      </c>
      <c r="O22" s="2"/>
      <c r="P22" s="6"/>
      <c r="V22" s="7"/>
      <c r="X22" s="11">
        <f>X21/($X$21+Y$21)</f>
        <v>0.997665946036562</v>
      </c>
      <c r="Y22" s="11">
        <f>Y21/($X$21+Z$21)</f>
        <v>2.3395145165678458E-3</v>
      </c>
      <c r="AC22" t="s">
        <v>67</v>
      </c>
      <c r="AD22" s="1">
        <v>28</v>
      </c>
      <c r="AE22" s="1">
        <v>17.78</v>
      </c>
      <c r="AF22" s="1">
        <f t="shared" si="1"/>
        <v>0.25</v>
      </c>
    </row>
    <row r="23" spans="2:36" ht="15" thickBot="1" x14ac:dyDescent="0.35">
      <c r="B23" s="2"/>
      <c r="C23" s="2"/>
      <c r="D23" s="6"/>
      <c r="F23" s="5" t="s">
        <v>23</v>
      </c>
      <c r="G23" s="5"/>
      <c r="O23" s="2"/>
      <c r="P23" s="6"/>
      <c r="R23" s="5" t="s">
        <v>23</v>
      </c>
      <c r="S23" s="5"/>
      <c r="AC23" t="s">
        <v>66</v>
      </c>
      <c r="AD23" s="1">
        <v>58</v>
      </c>
      <c r="AE23" s="1">
        <v>19.13</v>
      </c>
      <c r="AF23" s="1">
        <f t="shared" si="1"/>
        <v>0.14000000000000012</v>
      </c>
    </row>
    <row r="24" spans="2:36" x14ac:dyDescent="0.3">
      <c r="AC24" t="s">
        <v>68</v>
      </c>
      <c r="AD24" s="1">
        <v>39</v>
      </c>
      <c r="AE24" s="1">
        <v>18.04</v>
      </c>
      <c r="AF24" s="1">
        <f t="shared" si="1"/>
        <v>4.9999999999999822E-2</v>
      </c>
    </row>
    <row r="25" spans="2:36" x14ac:dyDescent="0.3">
      <c r="C25" s="6"/>
      <c r="D25" s="6"/>
      <c r="F25" s="3" t="s">
        <v>24</v>
      </c>
      <c r="G25" s="3" t="s">
        <v>25</v>
      </c>
      <c r="H25" t="s">
        <v>26</v>
      </c>
      <c r="I25" t="s">
        <v>48</v>
      </c>
      <c r="J25" t="s">
        <v>49</v>
      </c>
      <c r="O25" s="6"/>
      <c r="P25" s="6"/>
      <c r="R25" s="3" t="s">
        <v>24</v>
      </c>
      <c r="S25" s="3" t="s">
        <v>25</v>
      </c>
      <c r="T25" t="s">
        <v>26</v>
      </c>
      <c r="U25" t="s">
        <v>48</v>
      </c>
      <c r="V25" t="s">
        <v>49</v>
      </c>
      <c r="AC25" t="s">
        <v>69</v>
      </c>
      <c r="AD25" s="1">
        <v>50</v>
      </c>
      <c r="AE25" s="1">
        <v>17.7</v>
      </c>
      <c r="AF25" s="1">
        <f t="shared" si="1"/>
        <v>8.0000000000000071E-2</v>
      </c>
    </row>
    <row r="26" spans="2:36" x14ac:dyDescent="0.3">
      <c r="F26" s="3">
        <f>1/L21</f>
        <v>2.1693997487835093</v>
      </c>
      <c r="G26" s="3">
        <f>(K21*10^(-3))/(F26*10^(-6))</f>
        <v>1262197.06697</v>
      </c>
      <c r="H26">
        <f>Data!I10</f>
        <v>5400</v>
      </c>
      <c r="I26">
        <f>(H21-J21)/(K21-J21)</f>
        <v>7.4544743630255247E-2</v>
      </c>
      <c r="J26">
        <f>I26*H26</f>
        <v>402.54161560337832</v>
      </c>
      <c r="R26" s="3">
        <f>1/X21</f>
        <v>2.159239602181696</v>
      </c>
      <c r="S26" s="3">
        <f>(W21*10^(-3))/(R26*10^(-6))</f>
        <v>1268029.7254799998</v>
      </c>
      <c r="T26">
        <f>Data!$I$10-Data!$H$6*(Data!$D$6+Data!$E$6+Data!$F$6)</f>
        <v>1102.4500000000007</v>
      </c>
      <c r="U26">
        <f>(T21-V21)/(W21-V21)</f>
        <v>7.479899396208517E-2</v>
      </c>
      <c r="V26">
        <f>U26*T26</f>
        <v>82.462150893500848</v>
      </c>
      <c r="AC26" t="s">
        <v>70</v>
      </c>
      <c r="AD26" s="1">
        <v>24</v>
      </c>
      <c r="AE26" s="1">
        <v>17.96</v>
      </c>
      <c r="AF26" s="1">
        <f t="shared" si="1"/>
        <v>4.9999999999999822E-2</v>
      </c>
    </row>
    <row r="27" spans="2:36" x14ac:dyDescent="0.3">
      <c r="AC27" t="s">
        <v>71</v>
      </c>
      <c r="AD27" s="1">
        <v>48</v>
      </c>
      <c r="AE27" s="1">
        <v>17.41</v>
      </c>
      <c r="AF27" s="1">
        <f t="shared" si="1"/>
        <v>6.0000000000000053E-2</v>
      </c>
    </row>
    <row r="30" spans="2:36" ht="15" thickBot="1" x14ac:dyDescent="0.35"/>
    <row r="31" spans="2:36" ht="15.6" thickTop="1" thickBot="1" x14ac:dyDescent="0.35">
      <c r="C31" s="4" t="s">
        <v>35</v>
      </c>
      <c r="O31" s="4" t="s">
        <v>36</v>
      </c>
    </row>
    <row r="32" spans="2:36" ht="15.6" thickTop="1" thickBot="1" x14ac:dyDescent="0.35"/>
    <row r="33" spans="3:25" ht="15" thickBot="1" x14ac:dyDescent="0.35">
      <c r="C33" t="s">
        <v>15</v>
      </c>
      <c r="D33" s="1">
        <v>105</v>
      </c>
      <c r="F33" s="5" t="s">
        <v>17</v>
      </c>
      <c r="G33" s="5"/>
      <c r="O33" t="s">
        <v>15</v>
      </c>
      <c r="P33" s="1">
        <v>24</v>
      </c>
      <c r="R33" s="5" t="s">
        <v>17</v>
      </c>
      <c r="S33" s="5"/>
    </row>
    <row r="34" spans="3:25" x14ac:dyDescent="0.3">
      <c r="C34" t="s">
        <v>13</v>
      </c>
      <c r="D34" s="1">
        <f>(2*(90*60)+1*(32*60))/1000</f>
        <v>12.72</v>
      </c>
      <c r="E34" s="1"/>
      <c r="O34" t="s">
        <v>13</v>
      </c>
      <c r="P34" s="1">
        <f>(32*45+90*45)/1000</f>
        <v>5.49</v>
      </c>
      <c r="Q34" s="1"/>
    </row>
    <row r="35" spans="3:25" x14ac:dyDescent="0.3">
      <c r="C35" s="1" t="s">
        <v>14</v>
      </c>
      <c r="D35" s="1">
        <f>D33+D34</f>
        <v>117.72</v>
      </c>
      <c r="F35" t="s">
        <v>18</v>
      </c>
      <c r="H35" t="s">
        <v>59</v>
      </c>
      <c r="J35" s="7" t="s">
        <v>60</v>
      </c>
      <c r="O35" s="1" t="s">
        <v>14</v>
      </c>
      <c r="P35" s="1">
        <f>P33+P34</f>
        <v>29.490000000000002</v>
      </c>
      <c r="R35" t="s">
        <v>18</v>
      </c>
      <c r="T35" t="s">
        <v>59</v>
      </c>
      <c r="V35" s="7" t="s">
        <v>60</v>
      </c>
    </row>
    <row r="36" spans="3:25" ht="15.6" x14ac:dyDescent="0.35">
      <c r="D36" s="6"/>
      <c r="E36" s="6"/>
      <c r="H36" t="s">
        <v>20</v>
      </c>
      <c r="I36" t="s">
        <v>44</v>
      </c>
      <c r="J36" s="7" t="s">
        <v>20</v>
      </c>
      <c r="K36" t="s">
        <v>44</v>
      </c>
      <c r="P36" s="6"/>
      <c r="Q36" s="6"/>
      <c r="T36" t="s">
        <v>20</v>
      </c>
      <c r="U36" t="s">
        <v>44</v>
      </c>
      <c r="V36" s="7" t="s">
        <v>20</v>
      </c>
      <c r="W36" t="s">
        <v>44</v>
      </c>
    </row>
    <row r="37" spans="3:25" x14ac:dyDescent="0.3">
      <c r="C37" s="14" t="s">
        <v>16</v>
      </c>
      <c r="D37" s="14"/>
      <c r="E37" s="14"/>
      <c r="G37" t="s">
        <v>19</v>
      </c>
      <c r="H37">
        <v>9.0579999999999998</v>
      </c>
      <c r="I37">
        <v>180.238</v>
      </c>
      <c r="J37" s="7">
        <f>V17-0.25</f>
        <v>2.73</v>
      </c>
      <c r="K37">
        <v>141.23599999999999</v>
      </c>
      <c r="O37" s="14" t="s">
        <v>16</v>
      </c>
      <c r="P37" s="14"/>
      <c r="Q37" s="14"/>
      <c r="S37" t="s">
        <v>19</v>
      </c>
      <c r="T37" s="10">
        <f>'Red de vapor'!$S$26</f>
        <v>8.9002962618141161</v>
      </c>
      <c r="V37" s="7">
        <f>J37-0.14</f>
        <v>2.59</v>
      </c>
    </row>
    <row r="38" spans="3:25" x14ac:dyDescent="0.3">
      <c r="C38" s="14"/>
      <c r="D38" s="14"/>
      <c r="E38" s="14"/>
      <c r="J38" s="7"/>
      <c r="O38" s="14"/>
      <c r="P38" s="14"/>
      <c r="Q38" s="14"/>
      <c r="V38" s="7"/>
    </row>
    <row r="39" spans="3:25" x14ac:dyDescent="0.3">
      <c r="C39" s="14"/>
      <c r="D39" s="14"/>
      <c r="E39" s="14"/>
      <c r="J39" s="7"/>
      <c r="O39" s="14"/>
      <c r="P39" s="14"/>
      <c r="Q39" s="14"/>
      <c r="V39" s="7"/>
    </row>
    <row r="40" spans="3:25" ht="16.2" x14ac:dyDescent="0.3">
      <c r="C40" s="14"/>
      <c r="D40" s="14"/>
      <c r="E40" s="14"/>
      <c r="G40" t="s">
        <v>22</v>
      </c>
      <c r="H40" t="s">
        <v>45</v>
      </c>
      <c r="J40" s="7" t="s">
        <v>46</v>
      </c>
      <c r="K40" t="s">
        <v>51</v>
      </c>
      <c r="L40" t="s">
        <v>62</v>
      </c>
      <c r="M40" t="s">
        <v>63</v>
      </c>
      <c r="O40" s="14"/>
      <c r="P40" s="14"/>
      <c r="Q40" s="14"/>
      <c r="S40" t="s">
        <v>22</v>
      </c>
      <c r="T40" t="s">
        <v>45</v>
      </c>
      <c r="V40" s="7" t="s">
        <v>46</v>
      </c>
      <c r="W40" t="s">
        <v>51</v>
      </c>
      <c r="X40" t="s">
        <v>62</v>
      </c>
      <c r="Y40" t="s">
        <v>63</v>
      </c>
    </row>
    <row r="41" spans="3:25" x14ac:dyDescent="0.3">
      <c r="C41" s="2"/>
      <c r="D41" s="6"/>
      <c r="H41">
        <f>T21</f>
        <v>764.04700000000003</v>
      </c>
      <c r="J41" s="7">
        <v>594.50900000000001</v>
      </c>
      <c r="K41">
        <v>2735.04</v>
      </c>
      <c r="L41">
        <v>0.49213699999999999</v>
      </c>
      <c r="M41">
        <v>1.0810500000000001E-3</v>
      </c>
      <c r="O41" s="2"/>
      <c r="P41" s="6"/>
      <c r="T41">
        <v>764.23800000000006</v>
      </c>
      <c r="V41" s="7"/>
    </row>
    <row r="42" spans="3:25" ht="15" thickBot="1" x14ac:dyDescent="0.35">
      <c r="C42" s="2"/>
      <c r="D42" s="6"/>
      <c r="J42" s="7"/>
      <c r="L42" s="11">
        <f>L41/($L$41+$M$41)</f>
        <v>0.99780817024032276</v>
      </c>
      <c r="M42" s="11">
        <f>M41/($L$41+$M$41)</f>
        <v>2.191829759677287E-3</v>
      </c>
      <c r="O42" s="2"/>
      <c r="P42" s="6"/>
      <c r="V42" s="7"/>
      <c r="X42" s="11">
        <f>X41/($L41+$M41)</f>
        <v>0</v>
      </c>
      <c r="Y42" s="11">
        <f>Y41/($L41+$M41)</f>
        <v>0</v>
      </c>
    </row>
    <row r="43" spans="3:25" ht="15" thickBot="1" x14ac:dyDescent="0.35">
      <c r="C43" s="2"/>
      <c r="D43" s="6"/>
      <c r="F43" s="5" t="s">
        <v>23</v>
      </c>
      <c r="G43" s="5"/>
      <c r="O43" s="2"/>
      <c r="P43" s="6"/>
      <c r="R43" s="5" t="s">
        <v>23</v>
      </c>
      <c r="S43" s="5"/>
    </row>
    <row r="45" spans="3:25" x14ac:dyDescent="0.3">
      <c r="C45" s="6"/>
      <c r="D45" s="6"/>
      <c r="F45" s="3" t="s">
        <v>24</v>
      </c>
      <c r="G45" s="3" t="s">
        <v>25</v>
      </c>
      <c r="H45" t="s">
        <v>26</v>
      </c>
      <c r="I45" t="s">
        <v>48</v>
      </c>
      <c r="J45" t="s">
        <v>49</v>
      </c>
      <c r="O45" s="6"/>
      <c r="P45" s="6"/>
      <c r="R45" s="3" t="s">
        <v>24</v>
      </c>
      <c r="S45" s="3" t="s">
        <v>25</v>
      </c>
      <c r="T45" t="s">
        <v>26</v>
      </c>
      <c r="U45" t="s">
        <v>48</v>
      </c>
      <c r="V45" t="s">
        <v>49</v>
      </c>
    </row>
    <row r="46" spans="3:25" x14ac:dyDescent="0.3">
      <c r="F46" s="3">
        <f>1/L41</f>
        <v>2.0319545167300976</v>
      </c>
      <c r="G46" s="3">
        <f>(K41*10^(-3))/(F46*10^(-6))</f>
        <v>1346014.3804800001</v>
      </c>
      <c r="H46">
        <f>Data!I10-Data!H6*(Data!C6)</f>
        <v>4619.1499999999996</v>
      </c>
      <c r="I46">
        <f>(H41-J41)/(K41-J41)</f>
        <v>7.9203711602401472E-2</v>
      </c>
      <c r="J46">
        <f>I46*H46</f>
        <v>365.85382444823273</v>
      </c>
      <c r="R46" s="3" t="e">
        <f>1/X41</f>
        <v>#DIV/0!</v>
      </c>
      <c r="S46" s="3" t="e">
        <f>(W41*10^(-3))/(R46*10^(-6))</f>
        <v>#DIV/0!</v>
      </c>
      <c r="T46">
        <f>'Red de vapor'!$S$35</f>
        <v>1884.4500000000003</v>
      </c>
      <c r="U46" t="e">
        <f>(T41-V41)/(W41-V41)</f>
        <v>#DIV/0!</v>
      </c>
      <c r="V46" t="e">
        <f>U46*T46</f>
        <v>#DIV/0!</v>
      </c>
    </row>
    <row r="48" spans="3:25" ht="15" thickBot="1" x14ac:dyDescent="0.35"/>
    <row r="49" spans="3:25" ht="15.6" thickTop="1" thickBot="1" x14ac:dyDescent="0.35">
      <c r="C49" s="4" t="s">
        <v>37</v>
      </c>
      <c r="O49" s="4" t="s">
        <v>38</v>
      </c>
    </row>
    <row r="50" spans="3:25" ht="15.6" thickTop="1" thickBot="1" x14ac:dyDescent="0.35"/>
    <row r="51" spans="3:25" ht="15" thickBot="1" x14ac:dyDescent="0.35">
      <c r="C51" t="s">
        <v>15</v>
      </c>
      <c r="D51" s="1">
        <v>60</v>
      </c>
      <c r="F51" s="5" t="s">
        <v>17</v>
      </c>
      <c r="G51" s="5"/>
      <c r="O51" t="s">
        <v>15</v>
      </c>
      <c r="P51" s="1">
        <v>14</v>
      </c>
      <c r="R51" s="5" t="s">
        <v>17</v>
      </c>
      <c r="S51" s="5"/>
    </row>
    <row r="52" spans="3:25" x14ac:dyDescent="0.3">
      <c r="C52" t="s">
        <v>13</v>
      </c>
      <c r="D52" s="1">
        <f>(1*(90*50)+1*(60*50))/1000</f>
        <v>7.5</v>
      </c>
      <c r="E52" s="1"/>
      <c r="O52" t="s">
        <v>13</v>
      </c>
      <c r="P52" s="1">
        <f>0.2*$P$51</f>
        <v>2.8000000000000003</v>
      </c>
      <c r="Q52" s="1"/>
    </row>
    <row r="53" spans="3:25" x14ac:dyDescent="0.3">
      <c r="C53" s="1" t="s">
        <v>14</v>
      </c>
      <c r="D53" s="1">
        <f>D51+D52</f>
        <v>67.5</v>
      </c>
      <c r="F53" t="s">
        <v>18</v>
      </c>
      <c r="H53" t="s">
        <v>59</v>
      </c>
      <c r="J53" s="7" t="s">
        <v>60</v>
      </c>
      <c r="O53" s="1" t="s">
        <v>14</v>
      </c>
      <c r="P53" s="1">
        <f>P51+P52</f>
        <v>16.8</v>
      </c>
      <c r="R53" t="s">
        <v>18</v>
      </c>
      <c r="T53" t="s">
        <v>59</v>
      </c>
      <c r="V53" s="7" t="s">
        <v>60</v>
      </c>
    </row>
    <row r="54" spans="3:25" ht="15.6" x14ac:dyDescent="0.35">
      <c r="D54" s="6"/>
      <c r="E54" s="6"/>
      <c r="H54" t="s">
        <v>20</v>
      </c>
      <c r="I54" t="s">
        <v>44</v>
      </c>
      <c r="J54" s="7" t="s">
        <v>20</v>
      </c>
      <c r="K54" t="s">
        <v>44</v>
      </c>
      <c r="P54" s="6"/>
      <c r="Q54" s="6"/>
      <c r="T54" t="s">
        <v>20</v>
      </c>
      <c r="U54" t="s">
        <v>44</v>
      </c>
      <c r="V54" s="7" t="s">
        <v>20</v>
      </c>
      <c r="W54" t="s">
        <v>44</v>
      </c>
    </row>
    <row r="55" spans="3:25" x14ac:dyDescent="0.3">
      <c r="C55" s="14" t="s">
        <v>16</v>
      </c>
      <c r="D55" s="14"/>
      <c r="E55" s="14"/>
      <c r="G55" t="s">
        <v>19</v>
      </c>
      <c r="H55" s="10">
        <f>'Red de vapor'!$H$43</f>
        <v>8.9002962618141161</v>
      </c>
      <c r="J55" s="7">
        <v>2.59</v>
      </c>
      <c r="O55" s="14" t="s">
        <v>16</v>
      </c>
      <c r="P55" s="14"/>
      <c r="Q55" s="14"/>
      <c r="S55" t="s">
        <v>19</v>
      </c>
      <c r="T55" s="10">
        <f>'Red de vapor'!$S$43</f>
        <v>8.7802962618141169</v>
      </c>
      <c r="V55" s="7">
        <f>$J$55-0.08</f>
        <v>2.5099999999999998</v>
      </c>
    </row>
    <row r="56" spans="3:25" x14ac:dyDescent="0.3">
      <c r="C56" s="14"/>
      <c r="D56" s="14"/>
      <c r="E56" s="14"/>
      <c r="J56" s="7"/>
      <c r="O56" s="14"/>
      <c r="P56" s="14"/>
      <c r="Q56" s="14"/>
      <c r="V56" s="7"/>
    </row>
    <row r="57" spans="3:25" x14ac:dyDescent="0.3">
      <c r="C57" s="14"/>
      <c r="D57" s="14"/>
      <c r="E57" s="14"/>
      <c r="J57" s="7"/>
      <c r="O57" s="14"/>
      <c r="P57" s="14"/>
      <c r="Q57" s="14"/>
      <c r="V57" s="7"/>
    </row>
    <row r="58" spans="3:25" ht="16.2" x14ac:dyDescent="0.3">
      <c r="C58" s="14"/>
      <c r="D58" s="14"/>
      <c r="E58" s="14"/>
      <c r="G58" t="s">
        <v>22</v>
      </c>
      <c r="H58" t="s">
        <v>45</v>
      </c>
      <c r="J58" s="7" t="s">
        <v>46</v>
      </c>
      <c r="K58" t="s">
        <v>51</v>
      </c>
      <c r="L58" t="s">
        <v>62</v>
      </c>
      <c r="M58" t="s">
        <v>63</v>
      </c>
      <c r="O58" s="14"/>
      <c r="P58" s="14"/>
      <c r="Q58" s="14"/>
      <c r="S58" t="s">
        <v>22</v>
      </c>
      <c r="T58" t="s">
        <v>45</v>
      </c>
      <c r="V58" s="7" t="s">
        <v>46</v>
      </c>
      <c r="W58" t="s">
        <v>51</v>
      </c>
      <c r="X58" t="s">
        <v>62</v>
      </c>
      <c r="Y58" t="s">
        <v>63</v>
      </c>
    </row>
    <row r="59" spans="3:25" x14ac:dyDescent="0.3">
      <c r="C59" s="2"/>
      <c r="D59" s="6"/>
      <c r="J59" s="7"/>
      <c r="O59" s="2"/>
      <c r="P59" s="6"/>
      <c r="V59" s="7"/>
    </row>
    <row r="60" spans="3:25" ht="15" thickBot="1" x14ac:dyDescent="0.35">
      <c r="C60" s="2"/>
      <c r="D60" s="6"/>
      <c r="J60" s="7"/>
      <c r="L60" s="11" t="e">
        <f>L59/($L59+$M59)</f>
        <v>#DIV/0!</v>
      </c>
      <c r="M60" s="11" t="e">
        <f>M59/($L59+$M59)</f>
        <v>#DIV/0!</v>
      </c>
      <c r="O60" s="2"/>
      <c r="P60" s="6"/>
      <c r="V60" s="7"/>
      <c r="X60" s="11" t="e">
        <f>X59/($L59+$M59)</f>
        <v>#DIV/0!</v>
      </c>
      <c r="Y60" s="11" t="e">
        <f>Y59/($L59+$M59)</f>
        <v>#DIV/0!</v>
      </c>
    </row>
    <row r="61" spans="3:25" ht="15" thickBot="1" x14ac:dyDescent="0.35">
      <c r="C61" s="2"/>
      <c r="D61" s="6"/>
      <c r="F61" s="5" t="s">
        <v>23</v>
      </c>
      <c r="G61" s="5"/>
      <c r="O61" s="2"/>
      <c r="P61" s="6"/>
      <c r="R61" s="5" t="s">
        <v>23</v>
      </c>
      <c r="S61" s="5"/>
    </row>
    <row r="63" spans="3:25" x14ac:dyDescent="0.3">
      <c r="C63" s="6"/>
      <c r="D63" s="6"/>
      <c r="F63" s="3" t="s">
        <v>24</v>
      </c>
      <c r="G63" s="3" t="s">
        <v>25</v>
      </c>
      <c r="H63" t="s">
        <v>26</v>
      </c>
      <c r="I63" t="s">
        <v>48</v>
      </c>
      <c r="J63" t="s">
        <v>49</v>
      </c>
      <c r="O63" s="6"/>
      <c r="P63" s="6"/>
      <c r="R63" s="3" t="s">
        <v>24</v>
      </c>
      <c r="S63" s="3" t="s">
        <v>25</v>
      </c>
      <c r="T63" t="s">
        <v>26</v>
      </c>
      <c r="U63" t="s">
        <v>48</v>
      </c>
      <c r="V63" t="s">
        <v>49</v>
      </c>
    </row>
    <row r="64" spans="3:25" x14ac:dyDescent="0.3">
      <c r="F64" s="3" t="e">
        <f>1/L59</f>
        <v>#DIV/0!</v>
      </c>
      <c r="G64" s="3" t="e">
        <f>(K59*10^(-3))/(F64*10^(-6))</f>
        <v>#DIV/0!</v>
      </c>
      <c r="H64">
        <f>'Red de vapor'!$H$52</f>
        <v>3056.3</v>
      </c>
      <c r="R64" s="3" t="e">
        <f>1/X59</f>
        <v>#DIV/0!</v>
      </c>
      <c r="S64" s="3" t="e">
        <f>(W59*10^(-3))/(R64*10^(-6))</f>
        <v>#DIV/0!</v>
      </c>
      <c r="T64">
        <f>'Red de vapor'!$S$52</f>
        <v>712.60000000000036</v>
      </c>
      <c r="U64" t="e">
        <f>(T59-V59)/(W59-V59)</f>
        <v>#DIV/0!</v>
      </c>
      <c r="V64" t="e">
        <f>U64*T64</f>
        <v>#DIV/0!</v>
      </c>
    </row>
    <row r="67" spans="3:13" ht="15" thickBot="1" x14ac:dyDescent="0.35"/>
    <row r="68" spans="3:13" ht="15.6" thickTop="1" thickBot="1" x14ac:dyDescent="0.35">
      <c r="C68" s="4" t="s">
        <v>39</v>
      </c>
    </row>
    <row r="69" spans="3:13" ht="15.6" thickTop="1" thickBot="1" x14ac:dyDescent="0.35"/>
    <row r="70" spans="3:13" ht="15" thickBot="1" x14ac:dyDescent="0.35">
      <c r="C70" t="s">
        <v>15</v>
      </c>
      <c r="D70" s="1">
        <v>44</v>
      </c>
      <c r="F70" s="5" t="s">
        <v>17</v>
      </c>
      <c r="G70" s="5"/>
    </row>
    <row r="71" spans="3:13" x14ac:dyDescent="0.3">
      <c r="C71" t="s">
        <v>13</v>
      </c>
      <c r="D71" s="1">
        <f>(60*50+2*(32*50))/1000</f>
        <v>6.2</v>
      </c>
      <c r="E71" s="1"/>
    </row>
    <row r="72" spans="3:13" x14ac:dyDescent="0.3">
      <c r="C72" s="1" t="s">
        <v>14</v>
      </c>
      <c r="D72" s="1">
        <f>D70+D71</f>
        <v>50.2</v>
      </c>
      <c r="F72" t="s">
        <v>18</v>
      </c>
      <c r="H72" t="s">
        <v>59</v>
      </c>
      <c r="J72" s="7" t="s">
        <v>60</v>
      </c>
    </row>
    <row r="73" spans="3:13" ht="15.6" x14ac:dyDescent="0.35">
      <c r="D73" s="6"/>
      <c r="E73" s="6"/>
      <c r="H73" t="s">
        <v>20</v>
      </c>
      <c r="I73" t="s">
        <v>44</v>
      </c>
      <c r="J73" s="7" t="s">
        <v>20</v>
      </c>
      <c r="K73" t="s">
        <v>44</v>
      </c>
    </row>
    <row r="74" spans="3:13" x14ac:dyDescent="0.3">
      <c r="C74" s="14" t="s">
        <v>16</v>
      </c>
      <c r="D74" s="14"/>
      <c r="E74" s="14"/>
      <c r="G74" t="s">
        <v>19</v>
      </c>
      <c r="H74" s="10">
        <f>'Red de vapor'!$H$60</f>
        <v>8.7802962618141169</v>
      </c>
      <c r="J74" s="7">
        <f>$V$55</f>
        <v>2.5099999999999998</v>
      </c>
    </row>
    <row r="75" spans="3:13" x14ac:dyDescent="0.3">
      <c r="C75" s="14"/>
      <c r="D75" s="14"/>
      <c r="E75" s="14"/>
      <c r="J75" s="7"/>
    </row>
    <row r="76" spans="3:13" x14ac:dyDescent="0.3">
      <c r="C76" s="14"/>
      <c r="D76" s="14"/>
      <c r="E76" s="14"/>
      <c r="J76" s="7"/>
    </row>
    <row r="77" spans="3:13" ht="16.2" x14ac:dyDescent="0.3">
      <c r="C77" s="14"/>
      <c r="D77" s="14"/>
      <c r="E77" s="14"/>
      <c r="G77" t="s">
        <v>22</v>
      </c>
      <c r="H77" t="s">
        <v>45</v>
      </c>
      <c r="J77" s="7" t="s">
        <v>46</v>
      </c>
      <c r="K77" t="s">
        <v>51</v>
      </c>
      <c r="L77" t="s">
        <v>62</v>
      </c>
      <c r="M77" t="s">
        <v>63</v>
      </c>
    </row>
    <row r="78" spans="3:13" x14ac:dyDescent="0.3">
      <c r="C78" s="2"/>
      <c r="D78" s="6"/>
      <c r="J78" s="7"/>
    </row>
    <row r="79" spans="3:13" ht="15" thickBot="1" x14ac:dyDescent="0.35">
      <c r="C79" s="2"/>
      <c r="D79" s="6"/>
      <c r="J79" s="7"/>
      <c r="L79" s="11" t="e">
        <f>L78/($L78+$M78)</f>
        <v>#DIV/0!</v>
      </c>
      <c r="M79" s="11" t="e">
        <f>M78/($L78+$M78)</f>
        <v>#DIV/0!</v>
      </c>
    </row>
    <row r="80" spans="3:13" ht="15" thickBot="1" x14ac:dyDescent="0.35">
      <c r="C80" s="2"/>
      <c r="D80" s="6"/>
      <c r="F80" s="5" t="s">
        <v>23</v>
      </c>
      <c r="G80" s="5"/>
    </row>
    <row r="82" spans="3:10" x14ac:dyDescent="0.3">
      <c r="C82" s="6"/>
      <c r="D82" s="6"/>
      <c r="F82" s="3" t="s">
        <v>24</v>
      </c>
      <c r="G82" s="3" t="s">
        <v>25</v>
      </c>
      <c r="H82" t="s">
        <v>26</v>
      </c>
      <c r="I82" t="s">
        <v>48</v>
      </c>
      <c r="J82" t="s">
        <v>49</v>
      </c>
    </row>
    <row r="83" spans="3:10" x14ac:dyDescent="0.3">
      <c r="F83" s="3" t="e">
        <f>1/L78</f>
        <v>#DIV/0!</v>
      </c>
      <c r="G83" s="3" t="e">
        <f>(K78*10^(-3))/(F83*10^(-6))</f>
        <v>#DIV/0!</v>
      </c>
      <c r="H83">
        <f>'Red de vapor'!$H$69</f>
        <v>2665.3</v>
      </c>
      <c r="I83" t="e">
        <f>(H78-J78)/(K78-J78)</f>
        <v>#DIV/0!</v>
      </c>
      <c r="J83" t="e">
        <f>I83*H83</f>
        <v>#DIV/0!</v>
      </c>
    </row>
  </sheetData>
  <mergeCells count="9">
    <mergeCell ref="C74:E77"/>
    <mergeCell ref="F1:I3"/>
    <mergeCell ref="A5:B7"/>
    <mergeCell ref="C17:E20"/>
    <mergeCell ref="O17:Q20"/>
    <mergeCell ref="C37:E40"/>
    <mergeCell ref="O37:Q40"/>
    <mergeCell ref="C55:E58"/>
    <mergeCell ref="O55:Q58"/>
  </mergeCells>
  <pageMargins left="0.7" right="0.7" top="0.75" bottom="0.75" header="0.3" footer="0.3"/>
  <ignoredErrors>
    <ignoredError sqref="AJ1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Red de vapor</vt:lpstr>
      <vt:lpstr>Red de condensados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España Carrete</cp:lastModifiedBy>
  <dcterms:created xsi:type="dcterms:W3CDTF">2015-06-05T18:17:20Z</dcterms:created>
  <dcterms:modified xsi:type="dcterms:W3CDTF">2026-03-27T16:24:14Z</dcterms:modified>
</cp:coreProperties>
</file>